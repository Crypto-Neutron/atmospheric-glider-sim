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ry\Desktop\Spring 2020\Senior Design\Glider\The Matrix\Senior Design Sim\"/>
    </mc:Choice>
  </mc:AlternateContent>
  <xr:revisionPtr revIDLastSave="0" documentId="13_ncr:1_{44C3FB21-CF73-473C-9B40-01644028778B}" xr6:coauthVersionLast="45" xr6:coauthVersionMax="45" xr10:uidLastSave="{00000000-0000-0000-0000-000000000000}"/>
  <bookViews>
    <workbookView xWindow="28680" yWindow="4440" windowWidth="20640" windowHeight="11160" activeTab="4" xr2:uid="{DD155191-0E8F-435C-A474-FC39205782BF}"/>
  </bookViews>
  <sheets>
    <sheet name="DragBuildUp" sheetId="1" r:id="rId1"/>
    <sheet name="Bank" sheetId="8" r:id="rId2"/>
    <sheet name="Aircraft Data" sheetId="5" r:id="rId3"/>
    <sheet name="Airfoil Estimation" sheetId="2" r:id="rId4"/>
    <sheet name="Sheet1" sheetId="9" r:id="rId5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9" l="1"/>
  <c r="D3" i="9"/>
  <c r="D2" i="9"/>
  <c r="A65" i="8" l="1"/>
  <c r="B65" i="8" s="1"/>
  <c r="A66" i="8"/>
  <c r="A67" i="8" s="1"/>
  <c r="B67" i="8" s="1"/>
  <c r="B66" i="8"/>
  <c r="C66" i="8" s="1"/>
  <c r="A68" i="8"/>
  <c r="A69" i="8" s="1"/>
  <c r="B69" i="8" s="1"/>
  <c r="B68" i="8"/>
  <c r="C68" i="8"/>
  <c r="E69" i="8"/>
  <c r="G69" i="8" s="1"/>
  <c r="A52" i="8"/>
  <c r="B52" i="8" s="1"/>
  <c r="A53" i="8"/>
  <c r="A54" i="8" s="1"/>
  <c r="B53" i="8"/>
  <c r="D53" i="8" s="1"/>
  <c r="F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2" i="8"/>
  <c r="A4" i="8"/>
  <c r="A5" i="8" s="1"/>
  <c r="A3" i="8"/>
  <c r="K3" i="8" s="1"/>
  <c r="K2" i="8"/>
  <c r="A2" i="8"/>
  <c r="B2" i="8" s="1"/>
  <c r="D68" i="8" l="1"/>
  <c r="E68" i="8"/>
  <c r="C69" i="8"/>
  <c r="D69" i="8"/>
  <c r="F69" i="8" s="1"/>
  <c r="E66" i="8"/>
  <c r="D66" i="8"/>
  <c r="A70" i="8"/>
  <c r="C67" i="8"/>
  <c r="D67" i="8"/>
  <c r="E67" i="8"/>
  <c r="C65" i="8"/>
  <c r="D65" i="8"/>
  <c r="E65" i="8"/>
  <c r="A55" i="8"/>
  <c r="B54" i="8"/>
  <c r="C52" i="8"/>
  <c r="D52" i="8"/>
  <c r="E52" i="8"/>
  <c r="E53" i="8"/>
  <c r="C53" i="8"/>
  <c r="C2" i="8"/>
  <c r="E2" i="8"/>
  <c r="D2" i="8"/>
  <c r="A6" i="8"/>
  <c r="B5" i="8"/>
  <c r="K5" i="8"/>
  <c r="B4" i="8"/>
  <c r="K4" i="8"/>
  <c r="B3" i="8"/>
  <c r="F67" i="8" l="1"/>
  <c r="G67" i="8"/>
  <c r="B70" i="8"/>
  <c r="A71" i="8"/>
  <c r="F66" i="8"/>
  <c r="G66" i="8"/>
  <c r="F68" i="8"/>
  <c r="G68" i="8"/>
  <c r="F65" i="8"/>
  <c r="G65" i="8"/>
  <c r="F53" i="8"/>
  <c r="G53" i="8"/>
  <c r="F52" i="8"/>
  <c r="G52" i="8"/>
  <c r="C54" i="8"/>
  <c r="D54" i="8"/>
  <c r="E54" i="8"/>
  <c r="B55" i="8"/>
  <c r="A56" i="8"/>
  <c r="E4" i="8"/>
  <c r="D4" i="8"/>
  <c r="C4" i="8"/>
  <c r="D3" i="8"/>
  <c r="E3" i="8"/>
  <c r="F3" i="8" s="1"/>
  <c r="C3" i="8"/>
  <c r="E5" i="8"/>
  <c r="C5" i="8"/>
  <c r="D5" i="8"/>
  <c r="A7" i="8"/>
  <c r="K6" i="8"/>
  <c r="B6" i="8"/>
  <c r="A72" i="8" l="1"/>
  <c r="B71" i="8"/>
  <c r="C70" i="8"/>
  <c r="D70" i="8"/>
  <c r="E70" i="8"/>
  <c r="D55" i="8"/>
  <c r="E55" i="8"/>
  <c r="C55" i="8"/>
  <c r="B56" i="8"/>
  <c r="A57" i="8"/>
  <c r="F54" i="8"/>
  <c r="G54" i="8"/>
  <c r="B7" i="8"/>
  <c r="K7" i="8"/>
  <c r="A8" i="8"/>
  <c r="F5" i="8"/>
  <c r="C6" i="8"/>
  <c r="E6" i="8"/>
  <c r="D6" i="8"/>
  <c r="F4" i="8"/>
  <c r="F70" i="8" l="1"/>
  <c r="G70" i="8"/>
  <c r="C71" i="8"/>
  <c r="D71" i="8"/>
  <c r="E71" i="8"/>
  <c r="B72" i="8"/>
  <c r="A73" i="8"/>
  <c r="B57" i="8"/>
  <c r="A58" i="8"/>
  <c r="E56" i="8"/>
  <c r="C56" i="8"/>
  <c r="D56" i="8"/>
  <c r="F55" i="8"/>
  <c r="G55" i="8"/>
  <c r="F6" i="8"/>
  <c r="A9" i="8"/>
  <c r="K8" i="8"/>
  <c r="B8" i="8"/>
  <c r="C7" i="8"/>
  <c r="E7" i="8"/>
  <c r="D7" i="8"/>
  <c r="G71" i="8" l="1"/>
  <c r="F71" i="8"/>
  <c r="A74" i="8"/>
  <c r="B73" i="8"/>
  <c r="C72" i="8"/>
  <c r="D72" i="8"/>
  <c r="E72" i="8"/>
  <c r="G56" i="8"/>
  <c r="F56" i="8"/>
  <c r="A59" i="8"/>
  <c r="B58" i="8"/>
  <c r="C57" i="8"/>
  <c r="D57" i="8"/>
  <c r="E57" i="8"/>
  <c r="E8" i="8"/>
  <c r="D8" i="8"/>
  <c r="C8" i="8"/>
  <c r="F7" i="8"/>
  <c r="B9" i="8"/>
  <c r="A10" i="8"/>
  <c r="K9" i="8"/>
  <c r="F72" i="8" l="1"/>
  <c r="G72" i="8"/>
  <c r="E73" i="8"/>
  <c r="C73" i="8"/>
  <c r="D73" i="8"/>
  <c r="B74" i="8"/>
  <c r="A75" i="8"/>
  <c r="F57" i="8"/>
  <c r="G57" i="8"/>
  <c r="C58" i="8"/>
  <c r="D58" i="8"/>
  <c r="E58" i="8"/>
  <c r="B59" i="8"/>
  <c r="A60" i="8"/>
  <c r="K10" i="8"/>
  <c r="A11" i="8"/>
  <c r="B10" i="8"/>
  <c r="E9" i="8"/>
  <c r="C9" i="8"/>
  <c r="D9" i="8"/>
  <c r="F8" i="8"/>
  <c r="C74" i="8" l="1"/>
  <c r="D74" i="8"/>
  <c r="E74" i="8"/>
  <c r="A76" i="8"/>
  <c r="B75" i="8"/>
  <c r="F73" i="8"/>
  <c r="G73" i="8"/>
  <c r="A61" i="8"/>
  <c r="B60" i="8"/>
  <c r="C59" i="8"/>
  <c r="D59" i="8"/>
  <c r="E59" i="8"/>
  <c r="G58" i="8"/>
  <c r="F58" i="8"/>
  <c r="F9" i="8"/>
  <c r="D10" i="8"/>
  <c r="C10" i="8"/>
  <c r="E10" i="8"/>
  <c r="F10" i="8" s="1"/>
  <c r="A12" i="8"/>
  <c r="K11" i="8"/>
  <c r="B11" i="8"/>
  <c r="C75" i="8" l="1"/>
  <c r="D75" i="8"/>
  <c r="E75" i="8"/>
  <c r="A77" i="8"/>
  <c r="B76" i="8"/>
  <c r="G74" i="8"/>
  <c r="F74" i="8"/>
  <c r="G59" i="8"/>
  <c r="F59" i="8"/>
  <c r="E60" i="8"/>
  <c r="D60" i="8"/>
  <c r="C60" i="8"/>
  <c r="A62" i="8"/>
  <c r="B61" i="8"/>
  <c r="D11" i="8"/>
  <c r="C11" i="8"/>
  <c r="E11" i="8"/>
  <c r="F11" i="8" s="1"/>
  <c r="A13" i="8"/>
  <c r="B12" i="8"/>
  <c r="K12" i="8"/>
  <c r="C76" i="8" l="1"/>
  <c r="D76" i="8"/>
  <c r="E76" i="8"/>
  <c r="B77" i="8"/>
  <c r="A78" i="8"/>
  <c r="F75" i="8"/>
  <c r="G75" i="8"/>
  <c r="A63" i="8"/>
  <c r="B62" i="8"/>
  <c r="E61" i="8"/>
  <c r="C61" i="8"/>
  <c r="D61" i="8"/>
  <c r="F60" i="8"/>
  <c r="G60" i="8"/>
  <c r="D12" i="8"/>
  <c r="C12" i="8"/>
  <c r="E12" i="8"/>
  <c r="F12" i="8" s="1"/>
  <c r="K13" i="8"/>
  <c r="B13" i="8"/>
  <c r="A14" i="8"/>
  <c r="A79" i="8" l="1"/>
  <c r="B78" i="8"/>
  <c r="C77" i="8"/>
  <c r="D77" i="8"/>
  <c r="E77" i="8"/>
  <c r="F76" i="8"/>
  <c r="G76" i="8"/>
  <c r="G61" i="8"/>
  <c r="F61" i="8"/>
  <c r="C62" i="8"/>
  <c r="D62" i="8"/>
  <c r="E62" i="8"/>
  <c r="A64" i="8"/>
  <c r="B64" i="8" s="1"/>
  <c r="B63" i="8"/>
  <c r="B14" i="8"/>
  <c r="A15" i="8"/>
  <c r="K14" i="8"/>
  <c r="E13" i="8"/>
  <c r="D13" i="8"/>
  <c r="C13" i="8"/>
  <c r="F77" i="8" l="1"/>
  <c r="G77" i="8"/>
  <c r="C78" i="8"/>
  <c r="D78" i="8"/>
  <c r="E78" i="8"/>
  <c r="B79" i="8"/>
  <c r="A80" i="8"/>
  <c r="C64" i="8"/>
  <c r="D64" i="8"/>
  <c r="E64" i="8"/>
  <c r="E63" i="8"/>
  <c r="D63" i="8"/>
  <c r="C63" i="8"/>
  <c r="F62" i="8"/>
  <c r="G62" i="8"/>
  <c r="F13" i="8"/>
  <c r="E14" i="8"/>
  <c r="C14" i="8"/>
  <c r="D14" i="8"/>
  <c r="K15" i="8"/>
  <c r="B15" i="8"/>
  <c r="A16" i="8"/>
  <c r="A81" i="8" l="1"/>
  <c r="B80" i="8"/>
  <c r="C79" i="8"/>
  <c r="D79" i="8"/>
  <c r="E79" i="8"/>
  <c r="F78" i="8"/>
  <c r="G78" i="8"/>
  <c r="F63" i="8"/>
  <c r="G63" i="8"/>
  <c r="F64" i="8"/>
  <c r="G64" i="8"/>
  <c r="A17" i="8"/>
  <c r="B16" i="8"/>
  <c r="K16" i="8"/>
  <c r="E15" i="8"/>
  <c r="D15" i="8"/>
  <c r="C15" i="8"/>
  <c r="F14" i="8"/>
  <c r="F79" i="8" l="1"/>
  <c r="G79" i="8"/>
  <c r="D80" i="8"/>
  <c r="E80" i="8"/>
  <c r="C80" i="8"/>
  <c r="B81" i="8"/>
  <c r="A82" i="8"/>
  <c r="F15" i="8"/>
  <c r="C16" i="8"/>
  <c r="E16" i="8"/>
  <c r="D16" i="8"/>
  <c r="B17" i="8"/>
  <c r="K17" i="8"/>
  <c r="A18" i="8"/>
  <c r="C81" i="8" l="1"/>
  <c r="D81" i="8"/>
  <c r="E81" i="8"/>
  <c r="B82" i="8"/>
  <c r="A83" i="8"/>
  <c r="F80" i="8"/>
  <c r="G80" i="8"/>
  <c r="A19" i="8"/>
  <c r="K18" i="8"/>
  <c r="B18" i="8"/>
  <c r="E17" i="8"/>
  <c r="C17" i="8"/>
  <c r="D17" i="8"/>
  <c r="F16" i="8"/>
  <c r="A84" i="8" l="1"/>
  <c r="B83" i="8"/>
  <c r="C82" i="8"/>
  <c r="D82" i="8"/>
  <c r="E82" i="8"/>
  <c r="F81" i="8"/>
  <c r="G81" i="8"/>
  <c r="F17" i="8"/>
  <c r="E18" i="8"/>
  <c r="D18" i="8"/>
  <c r="C18" i="8"/>
  <c r="B19" i="8"/>
  <c r="K19" i="8"/>
  <c r="A20" i="8"/>
  <c r="F82" i="8" l="1"/>
  <c r="G82" i="8"/>
  <c r="C83" i="8"/>
  <c r="D83" i="8"/>
  <c r="E83" i="8"/>
  <c r="B84" i="8"/>
  <c r="A85" i="8"/>
  <c r="A21" i="8"/>
  <c r="K20" i="8"/>
  <c r="B20" i="8"/>
  <c r="C19" i="8"/>
  <c r="E19" i="8"/>
  <c r="D19" i="8"/>
  <c r="F18" i="8"/>
  <c r="A86" i="8" l="1"/>
  <c r="B85" i="8"/>
  <c r="C84" i="8"/>
  <c r="D84" i="8"/>
  <c r="E84" i="8"/>
  <c r="G83" i="8"/>
  <c r="F83" i="8"/>
  <c r="F19" i="8"/>
  <c r="E20" i="8"/>
  <c r="D20" i="8"/>
  <c r="C20" i="8"/>
  <c r="K21" i="8"/>
  <c r="A22" i="8"/>
  <c r="B21" i="8"/>
  <c r="F84" i="8" l="1"/>
  <c r="G84" i="8"/>
  <c r="E85" i="8"/>
  <c r="C85" i="8"/>
  <c r="D85" i="8"/>
  <c r="B86" i="8"/>
  <c r="A87" i="8"/>
  <c r="K22" i="8"/>
  <c r="B22" i="8"/>
  <c r="A23" i="8"/>
  <c r="E21" i="8"/>
  <c r="D21" i="8"/>
  <c r="C21" i="8"/>
  <c r="F20" i="8"/>
  <c r="C86" i="8" l="1"/>
  <c r="D86" i="8"/>
  <c r="E86" i="8"/>
  <c r="A88" i="8"/>
  <c r="B87" i="8"/>
  <c r="F85" i="8"/>
  <c r="G85" i="8"/>
  <c r="F21" i="8"/>
  <c r="A24" i="8"/>
  <c r="K23" i="8"/>
  <c r="B23" i="8"/>
  <c r="E22" i="8"/>
  <c r="D22" i="8"/>
  <c r="C22" i="8"/>
  <c r="C87" i="8" l="1"/>
  <c r="D87" i="8"/>
  <c r="E87" i="8"/>
  <c r="A89" i="8"/>
  <c r="B88" i="8"/>
  <c r="F86" i="8"/>
  <c r="G86" i="8"/>
  <c r="F22" i="8"/>
  <c r="C23" i="8"/>
  <c r="E23" i="8"/>
  <c r="D23" i="8"/>
  <c r="B24" i="8"/>
  <c r="K24" i="8"/>
  <c r="A25" i="8"/>
  <c r="E88" i="8" l="1"/>
  <c r="C88" i="8"/>
  <c r="D88" i="8"/>
  <c r="B89" i="8"/>
  <c r="A90" i="8"/>
  <c r="F87" i="8"/>
  <c r="G87" i="8"/>
  <c r="K25" i="8"/>
  <c r="A26" i="8"/>
  <c r="B25" i="8"/>
  <c r="D24" i="8"/>
  <c r="C24" i="8"/>
  <c r="E24" i="8"/>
  <c r="F24" i="8" s="1"/>
  <c r="F23" i="8"/>
  <c r="A91" i="8" l="1"/>
  <c r="B90" i="8"/>
  <c r="C89" i="8"/>
  <c r="D89" i="8"/>
  <c r="E89" i="8"/>
  <c r="F88" i="8"/>
  <c r="G88" i="8"/>
  <c r="E25" i="8"/>
  <c r="D25" i="8"/>
  <c r="C25" i="8"/>
  <c r="B26" i="8"/>
  <c r="A27" i="8"/>
  <c r="K26" i="8"/>
  <c r="F89" i="8" l="1"/>
  <c r="G89" i="8"/>
  <c r="C90" i="8"/>
  <c r="D90" i="8"/>
  <c r="E90" i="8"/>
  <c r="B91" i="8"/>
  <c r="A92" i="8"/>
  <c r="K27" i="8"/>
  <c r="B27" i="8"/>
  <c r="A28" i="8"/>
  <c r="E26" i="8"/>
  <c r="C26" i="8"/>
  <c r="D26" i="8"/>
  <c r="F25" i="8"/>
  <c r="F90" i="8" l="1"/>
  <c r="G90" i="8"/>
  <c r="A93" i="8"/>
  <c r="B92" i="8"/>
  <c r="C91" i="8"/>
  <c r="D91" i="8"/>
  <c r="E91" i="8"/>
  <c r="F26" i="8"/>
  <c r="A29" i="8"/>
  <c r="B28" i="8"/>
  <c r="K28" i="8"/>
  <c r="E27" i="8"/>
  <c r="D27" i="8"/>
  <c r="C27" i="8"/>
  <c r="F91" i="8" l="1"/>
  <c r="G91" i="8"/>
  <c r="D92" i="8"/>
  <c r="E92" i="8"/>
  <c r="C92" i="8"/>
  <c r="B93" i="8"/>
  <c r="A94" i="8"/>
  <c r="F27" i="8"/>
  <c r="C28" i="8"/>
  <c r="D28" i="8"/>
  <c r="E28" i="8"/>
  <c r="F28" i="8" s="1"/>
  <c r="A30" i="8"/>
  <c r="K29" i="8"/>
  <c r="B29" i="8"/>
  <c r="C93" i="8" l="1"/>
  <c r="D93" i="8"/>
  <c r="E93" i="8"/>
  <c r="B94" i="8"/>
  <c r="A95" i="8"/>
  <c r="F92" i="8"/>
  <c r="G92" i="8"/>
  <c r="A31" i="8"/>
  <c r="B30" i="8"/>
  <c r="K30" i="8"/>
  <c r="E29" i="8"/>
  <c r="C29" i="8"/>
  <c r="D29" i="8"/>
  <c r="A96" i="8" l="1"/>
  <c r="B95" i="8"/>
  <c r="C94" i="8"/>
  <c r="D94" i="8"/>
  <c r="E94" i="8"/>
  <c r="F93" i="8"/>
  <c r="G93" i="8"/>
  <c r="F29" i="8"/>
  <c r="E30" i="8"/>
  <c r="D30" i="8"/>
  <c r="C30" i="8"/>
  <c r="B31" i="8"/>
  <c r="K31" i="8"/>
  <c r="A32" i="8"/>
  <c r="F94" i="8" l="1"/>
  <c r="G94" i="8"/>
  <c r="C95" i="8"/>
  <c r="D95" i="8"/>
  <c r="E95" i="8"/>
  <c r="B96" i="8"/>
  <c r="A97" i="8"/>
  <c r="A33" i="8"/>
  <c r="K32" i="8"/>
  <c r="B32" i="8"/>
  <c r="C31" i="8"/>
  <c r="D31" i="8"/>
  <c r="E31" i="8"/>
  <c r="F31" i="8" s="1"/>
  <c r="F30" i="8"/>
  <c r="C96" i="8" l="1"/>
  <c r="D96" i="8"/>
  <c r="E96" i="8"/>
  <c r="A98" i="8"/>
  <c r="B97" i="8"/>
  <c r="G95" i="8"/>
  <c r="F95" i="8"/>
  <c r="E32" i="8"/>
  <c r="D32" i="8"/>
  <c r="C32" i="8"/>
  <c r="B33" i="8"/>
  <c r="A34" i="8"/>
  <c r="K33" i="8"/>
  <c r="E97" i="8" l="1"/>
  <c r="C97" i="8"/>
  <c r="D97" i="8"/>
  <c r="B98" i="8"/>
  <c r="A99" i="8"/>
  <c r="F96" i="8"/>
  <c r="G96" i="8"/>
  <c r="B34" i="8"/>
  <c r="K34" i="8"/>
  <c r="A35" i="8"/>
  <c r="E33" i="8"/>
  <c r="D33" i="8"/>
  <c r="C33" i="8"/>
  <c r="F32" i="8"/>
  <c r="A100" i="8" l="1"/>
  <c r="B99" i="8"/>
  <c r="C98" i="8"/>
  <c r="D98" i="8"/>
  <c r="E98" i="8"/>
  <c r="F97" i="8"/>
  <c r="G97" i="8"/>
  <c r="B35" i="8"/>
  <c r="A36" i="8"/>
  <c r="K35" i="8"/>
  <c r="F33" i="8"/>
  <c r="D34" i="8"/>
  <c r="E34" i="8"/>
  <c r="C34" i="8"/>
  <c r="F98" i="8" l="1"/>
  <c r="G98" i="8"/>
  <c r="C99" i="8"/>
  <c r="D99" i="8"/>
  <c r="E99" i="8"/>
  <c r="A101" i="8"/>
  <c r="B100" i="8"/>
  <c r="F34" i="8"/>
  <c r="B36" i="8"/>
  <c r="K36" i="8"/>
  <c r="A37" i="8"/>
  <c r="E35" i="8"/>
  <c r="C35" i="8"/>
  <c r="D35" i="8"/>
  <c r="B101" i="8" l="1"/>
  <c r="A102" i="8"/>
  <c r="C100" i="8"/>
  <c r="D100" i="8"/>
  <c r="E100" i="8"/>
  <c r="F99" i="8"/>
  <c r="G99" i="8"/>
  <c r="F35" i="8"/>
  <c r="A38" i="8"/>
  <c r="K37" i="8"/>
  <c r="B37" i="8"/>
  <c r="D36" i="8"/>
  <c r="C36" i="8"/>
  <c r="E36" i="8"/>
  <c r="F36" i="8" s="1"/>
  <c r="F100" i="8" l="1"/>
  <c r="G100" i="8"/>
  <c r="A103" i="8"/>
  <c r="B102" i="8"/>
  <c r="C101" i="8"/>
  <c r="D101" i="8"/>
  <c r="E101" i="8"/>
  <c r="E37" i="8"/>
  <c r="D37" i="8"/>
  <c r="C37" i="8"/>
  <c r="B38" i="8"/>
  <c r="A39" i="8"/>
  <c r="K38" i="8"/>
  <c r="F101" i="8" l="1"/>
  <c r="G101" i="8"/>
  <c r="C102" i="8"/>
  <c r="D102" i="8"/>
  <c r="E102" i="8"/>
  <c r="B103" i="8"/>
  <c r="A104" i="8"/>
  <c r="K39" i="8"/>
  <c r="A40" i="8"/>
  <c r="B39" i="8"/>
  <c r="C38" i="8"/>
  <c r="E38" i="8"/>
  <c r="D38" i="8"/>
  <c r="F37" i="8"/>
  <c r="A105" i="8" l="1"/>
  <c r="B104" i="8"/>
  <c r="C103" i="8"/>
  <c r="D103" i="8"/>
  <c r="E103" i="8"/>
  <c r="F102" i="8"/>
  <c r="G102" i="8"/>
  <c r="E39" i="8"/>
  <c r="D39" i="8"/>
  <c r="C39" i="8"/>
  <c r="B40" i="8"/>
  <c r="A41" i="8"/>
  <c r="K40" i="8"/>
  <c r="F38" i="8"/>
  <c r="F103" i="8" l="1"/>
  <c r="G103" i="8"/>
  <c r="D104" i="8"/>
  <c r="E104" i="8"/>
  <c r="C104" i="8"/>
  <c r="B105" i="8"/>
  <c r="A106" i="8"/>
  <c r="K41" i="8"/>
  <c r="B41" i="8"/>
  <c r="A42" i="8"/>
  <c r="D40" i="8"/>
  <c r="C40" i="8"/>
  <c r="E40" i="8"/>
  <c r="F40" i="8" s="1"/>
  <c r="F39" i="8"/>
  <c r="B106" i="8" l="1"/>
  <c r="A107" i="8"/>
  <c r="C105" i="8"/>
  <c r="D105" i="8"/>
  <c r="E105" i="8"/>
  <c r="F104" i="8"/>
  <c r="G104" i="8"/>
  <c r="E41" i="8"/>
  <c r="C41" i="8"/>
  <c r="D41" i="8"/>
  <c r="A43" i="8"/>
  <c r="K42" i="8"/>
  <c r="B42" i="8"/>
  <c r="F105" i="8" l="1"/>
  <c r="G105" i="8"/>
  <c r="A108" i="8"/>
  <c r="B107" i="8"/>
  <c r="C106" i="8"/>
  <c r="D106" i="8"/>
  <c r="E106" i="8"/>
  <c r="E42" i="8"/>
  <c r="D42" i="8"/>
  <c r="C42" i="8"/>
  <c r="B43" i="8"/>
  <c r="K43" i="8"/>
  <c r="A44" i="8"/>
  <c r="F41" i="8"/>
  <c r="F106" i="8" l="1"/>
  <c r="G106" i="8"/>
  <c r="C107" i="8"/>
  <c r="D107" i="8"/>
  <c r="E107" i="8"/>
  <c r="B108" i="8"/>
  <c r="A109" i="8"/>
  <c r="A45" i="8"/>
  <c r="K44" i="8"/>
  <c r="B44" i="8"/>
  <c r="C43" i="8"/>
  <c r="D43" i="8"/>
  <c r="E43" i="8"/>
  <c r="F43" i="8" s="1"/>
  <c r="F42" i="8"/>
  <c r="C108" i="8" l="1"/>
  <c r="D108" i="8"/>
  <c r="E108" i="8"/>
  <c r="A110" i="8"/>
  <c r="B109" i="8"/>
  <c r="G107" i="8"/>
  <c r="F107" i="8"/>
  <c r="E44" i="8"/>
  <c r="D44" i="8"/>
  <c r="C44" i="8"/>
  <c r="B45" i="8"/>
  <c r="A46" i="8"/>
  <c r="K45" i="8"/>
  <c r="E109" i="8" l="1"/>
  <c r="C109" i="8"/>
  <c r="D109" i="8"/>
  <c r="B110" i="8"/>
  <c r="A111" i="8"/>
  <c r="F108" i="8"/>
  <c r="G108" i="8"/>
  <c r="D45" i="8"/>
  <c r="E45" i="8"/>
  <c r="F45" i="8" s="1"/>
  <c r="C45" i="8"/>
  <c r="B46" i="8"/>
  <c r="K46" i="8"/>
  <c r="A47" i="8"/>
  <c r="F44" i="8"/>
  <c r="A112" i="8" l="1"/>
  <c r="B111" i="8"/>
  <c r="C110" i="8"/>
  <c r="D110" i="8"/>
  <c r="E110" i="8"/>
  <c r="F109" i="8"/>
  <c r="G109" i="8"/>
  <c r="A48" i="8"/>
  <c r="K47" i="8"/>
  <c r="B47" i="8"/>
  <c r="D46" i="8"/>
  <c r="E46" i="8"/>
  <c r="F46" i="8" s="1"/>
  <c r="C46" i="8"/>
  <c r="F110" i="8" l="1"/>
  <c r="G110" i="8"/>
  <c r="C111" i="8"/>
  <c r="D111" i="8"/>
  <c r="E111" i="8"/>
  <c r="A113" i="8"/>
  <c r="B112" i="8"/>
  <c r="C47" i="8"/>
  <c r="E47" i="8"/>
  <c r="D47" i="8"/>
  <c r="B48" i="8"/>
  <c r="K48" i="8"/>
  <c r="A49" i="8"/>
  <c r="C112" i="8" l="1"/>
  <c r="E112" i="8"/>
  <c r="D112" i="8"/>
  <c r="B113" i="8"/>
  <c r="A114" i="8"/>
  <c r="F111" i="8"/>
  <c r="G111" i="8"/>
  <c r="K49" i="8"/>
  <c r="A50" i="8"/>
  <c r="B49" i="8"/>
  <c r="F47" i="8"/>
  <c r="D48" i="8"/>
  <c r="C48" i="8"/>
  <c r="E48" i="8"/>
  <c r="F48" i="8" s="1"/>
  <c r="C113" i="8" l="1"/>
  <c r="D113" i="8"/>
  <c r="E113" i="8"/>
  <c r="A115" i="8"/>
  <c r="B114" i="8"/>
  <c r="G112" i="8"/>
  <c r="F112" i="8"/>
  <c r="E49" i="8"/>
  <c r="D49" i="8"/>
  <c r="C49" i="8"/>
  <c r="B50" i="8"/>
  <c r="A51" i="8"/>
  <c r="K50" i="8"/>
  <c r="B115" i="8" l="1"/>
  <c r="A116" i="8"/>
  <c r="C114" i="8"/>
  <c r="D114" i="8"/>
  <c r="E114" i="8"/>
  <c r="F113" i="8"/>
  <c r="G113" i="8"/>
  <c r="K51" i="8"/>
  <c r="B51" i="8"/>
  <c r="C50" i="8"/>
  <c r="E50" i="8"/>
  <c r="D50" i="8"/>
  <c r="F49" i="8"/>
  <c r="F114" i="8" l="1"/>
  <c r="G114" i="8"/>
  <c r="A117" i="8"/>
  <c r="B116" i="8"/>
  <c r="C115" i="8"/>
  <c r="D115" i="8"/>
  <c r="E115" i="8"/>
  <c r="F50" i="8"/>
  <c r="E51" i="8"/>
  <c r="D51" i="8"/>
  <c r="C51" i="8"/>
  <c r="B117" i="8" l="1"/>
  <c r="A118" i="8"/>
  <c r="F115" i="8"/>
  <c r="G115" i="8"/>
  <c r="D116" i="8"/>
  <c r="E116" i="8"/>
  <c r="C116" i="8"/>
  <c r="F51" i="8"/>
  <c r="F116" i="8" l="1"/>
  <c r="G116" i="8"/>
  <c r="B118" i="8"/>
  <c r="A119" i="8"/>
  <c r="C117" i="8"/>
  <c r="E117" i="8"/>
  <c r="D117" i="8"/>
  <c r="H20" i="1"/>
  <c r="H19" i="1"/>
  <c r="H18" i="1"/>
  <c r="H17" i="1"/>
  <c r="I27" i="1"/>
  <c r="F117" i="8" l="1"/>
  <c r="G117" i="8"/>
  <c r="A120" i="8"/>
  <c r="B119" i="8"/>
  <c r="C118" i="8"/>
  <c r="D118" i="8"/>
  <c r="E118" i="8"/>
  <c r="B27" i="1"/>
  <c r="H23" i="1"/>
  <c r="H22" i="1"/>
  <c r="H21" i="1"/>
  <c r="B17" i="1"/>
  <c r="F118" i="8" l="1"/>
  <c r="G118" i="8"/>
  <c r="C119" i="8"/>
  <c r="D119" i="8"/>
  <c r="E119" i="8"/>
  <c r="B120" i="8"/>
  <c r="A121" i="8"/>
  <c r="C19" i="1"/>
  <c r="A122" i="8" l="1"/>
  <c r="B121" i="8"/>
  <c r="G119" i="8"/>
  <c r="F119" i="8"/>
  <c r="C120" i="8"/>
  <c r="D120" i="8"/>
  <c r="E120" i="8"/>
  <c r="I23" i="1"/>
  <c r="I22" i="1"/>
  <c r="I21" i="1"/>
  <c r="I20" i="1"/>
  <c r="I19" i="1"/>
  <c r="I18" i="1"/>
  <c r="I17" i="1"/>
  <c r="G18" i="1"/>
  <c r="F120" i="8" l="1"/>
  <c r="G120" i="8"/>
  <c r="E121" i="8"/>
  <c r="C121" i="8"/>
  <c r="D121" i="8"/>
  <c r="B122" i="8"/>
  <c r="A123" i="8"/>
  <c r="B7" i="1"/>
  <c r="B6" i="1"/>
  <c r="B3" i="1"/>
  <c r="B7" i="5"/>
  <c r="B6" i="5"/>
  <c r="B11" i="5" s="1"/>
  <c r="B3" i="5"/>
  <c r="B4" i="5" s="1"/>
  <c r="B9" i="5" s="1"/>
  <c r="B2" i="5"/>
  <c r="B8" i="5"/>
  <c r="A124" i="8" l="1"/>
  <c r="B123" i="8"/>
  <c r="C122" i="8"/>
  <c r="D122" i="8"/>
  <c r="E122" i="8"/>
  <c r="F121" i="8"/>
  <c r="G121" i="8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" i="2"/>
  <c r="B11" i="2"/>
  <c r="B10" i="2"/>
  <c r="E3" i="2"/>
  <c r="F3" i="2" s="1"/>
  <c r="F2" i="2"/>
  <c r="B16" i="2"/>
  <c r="B15" i="2"/>
  <c r="B12" i="2"/>
  <c r="B7" i="2"/>
  <c r="B8" i="2" s="1"/>
  <c r="B6" i="2"/>
  <c r="B13" i="2" s="1"/>
  <c r="B3" i="2"/>
  <c r="B4" i="2" s="1"/>
  <c r="B9" i="2" s="1"/>
  <c r="C123" i="8" l="1"/>
  <c r="D123" i="8"/>
  <c r="E123" i="8"/>
  <c r="F122" i="8"/>
  <c r="G122" i="8"/>
  <c r="A125" i="8"/>
  <c r="B124" i="8"/>
  <c r="E4" i="2"/>
  <c r="C124" i="8" l="1"/>
  <c r="D124" i="8"/>
  <c r="E124" i="8"/>
  <c r="F123" i="8"/>
  <c r="G123" i="8"/>
  <c r="B125" i="8"/>
  <c r="A126" i="8"/>
  <c r="F4" i="2"/>
  <c r="E5" i="2"/>
  <c r="C125" i="8" l="1"/>
  <c r="D125" i="8"/>
  <c r="E125" i="8"/>
  <c r="F124" i="8"/>
  <c r="G124" i="8"/>
  <c r="A127" i="8"/>
  <c r="B126" i="8"/>
  <c r="E6" i="2"/>
  <c r="F5" i="2"/>
  <c r="C126" i="8" l="1"/>
  <c r="D126" i="8"/>
  <c r="E126" i="8"/>
  <c r="B127" i="8"/>
  <c r="A128" i="8"/>
  <c r="F125" i="8"/>
  <c r="G125" i="8"/>
  <c r="E7" i="2"/>
  <c r="F6" i="2"/>
  <c r="C127" i="8" l="1"/>
  <c r="D127" i="8"/>
  <c r="E127" i="8"/>
  <c r="A129" i="8"/>
  <c r="B128" i="8"/>
  <c r="F126" i="8"/>
  <c r="G126" i="8"/>
  <c r="F7" i="2"/>
  <c r="E8" i="2"/>
  <c r="D128" i="8" l="1"/>
  <c r="E128" i="8"/>
  <c r="C128" i="8"/>
  <c r="F127" i="8"/>
  <c r="G127" i="8"/>
  <c r="B129" i="8"/>
  <c r="A130" i="8"/>
  <c r="F8" i="2"/>
  <c r="E9" i="2"/>
  <c r="B130" i="8" l="1"/>
  <c r="A131" i="8"/>
  <c r="C129" i="8"/>
  <c r="D129" i="8"/>
  <c r="E129" i="8"/>
  <c r="F128" i="8"/>
  <c r="G128" i="8"/>
  <c r="F9" i="2"/>
  <c r="E10" i="2"/>
  <c r="F129" i="8" l="1"/>
  <c r="G129" i="8"/>
  <c r="A132" i="8"/>
  <c r="B131" i="8"/>
  <c r="C130" i="8"/>
  <c r="D130" i="8"/>
  <c r="E130" i="8"/>
  <c r="F10" i="2"/>
  <c r="E11" i="2"/>
  <c r="F130" i="8" l="1"/>
  <c r="G130" i="8"/>
  <c r="C131" i="8"/>
  <c r="D131" i="8"/>
  <c r="E131" i="8"/>
  <c r="B132" i="8"/>
  <c r="A133" i="8"/>
  <c r="F11" i="2"/>
  <c r="E12" i="2"/>
  <c r="C132" i="8" l="1"/>
  <c r="D132" i="8"/>
  <c r="E132" i="8"/>
  <c r="G131" i="8"/>
  <c r="F131" i="8"/>
  <c r="A134" i="8"/>
  <c r="B133" i="8"/>
  <c r="F12" i="2"/>
  <c r="E13" i="2"/>
  <c r="B134" i="8" l="1"/>
  <c r="A135" i="8"/>
  <c r="F132" i="8"/>
  <c r="G132" i="8"/>
  <c r="E133" i="8"/>
  <c r="D133" i="8"/>
  <c r="C133" i="8"/>
  <c r="E14" i="2"/>
  <c r="F13" i="2"/>
  <c r="F133" i="8" l="1"/>
  <c r="G133" i="8"/>
  <c r="A136" i="8"/>
  <c r="B135" i="8"/>
  <c r="C134" i="8"/>
  <c r="D134" i="8"/>
  <c r="E134" i="8"/>
  <c r="E15" i="2"/>
  <c r="F14" i="2"/>
  <c r="F134" i="8" l="1"/>
  <c r="G134" i="8"/>
  <c r="C135" i="8"/>
  <c r="D135" i="8"/>
  <c r="E135" i="8"/>
  <c r="A137" i="8"/>
  <c r="B136" i="8"/>
  <c r="E16" i="2"/>
  <c r="F15" i="2"/>
  <c r="F135" i="8" l="1"/>
  <c r="G135" i="8"/>
  <c r="C136" i="8"/>
  <c r="D136" i="8"/>
  <c r="E136" i="8"/>
  <c r="B137" i="8"/>
  <c r="A138" i="8"/>
  <c r="F16" i="2"/>
  <c r="E17" i="2"/>
  <c r="F136" i="8" l="1"/>
  <c r="G136" i="8"/>
  <c r="A139" i="8"/>
  <c r="B138" i="8"/>
  <c r="C137" i="8"/>
  <c r="D137" i="8"/>
  <c r="E137" i="8"/>
  <c r="E18" i="2"/>
  <c r="F17" i="2"/>
  <c r="C138" i="8" l="1"/>
  <c r="D138" i="8"/>
  <c r="E138" i="8"/>
  <c r="B139" i="8"/>
  <c r="A140" i="8"/>
  <c r="F137" i="8"/>
  <c r="G137" i="8"/>
  <c r="F18" i="2"/>
  <c r="E19" i="2"/>
  <c r="C139" i="8" l="1"/>
  <c r="D139" i="8"/>
  <c r="E139" i="8"/>
  <c r="A141" i="8"/>
  <c r="B140" i="8"/>
  <c r="F138" i="8"/>
  <c r="G138" i="8"/>
  <c r="E20" i="2"/>
  <c r="F20" i="2" s="1"/>
  <c r="F19" i="2"/>
  <c r="B141" i="8" l="1"/>
  <c r="A142" i="8"/>
  <c r="D140" i="8"/>
  <c r="E140" i="8"/>
  <c r="C140" i="8"/>
  <c r="F139" i="8"/>
  <c r="G139" i="8"/>
  <c r="B35" i="1"/>
  <c r="B28" i="1"/>
  <c r="B34" i="1"/>
  <c r="B33" i="1"/>
  <c r="B32" i="1"/>
  <c r="B31" i="1"/>
  <c r="B30" i="1"/>
  <c r="B37" i="1"/>
  <c r="F140" i="8" l="1"/>
  <c r="G140" i="8"/>
  <c r="B142" i="8"/>
  <c r="A143" i="8"/>
  <c r="C141" i="8"/>
  <c r="E141" i="8"/>
  <c r="D141" i="8"/>
  <c r="B29" i="1"/>
  <c r="G23" i="1"/>
  <c r="D23" i="1"/>
  <c r="G22" i="1"/>
  <c r="D22" i="1"/>
  <c r="G21" i="1"/>
  <c r="D21" i="1"/>
  <c r="G20" i="1"/>
  <c r="D20" i="1"/>
  <c r="G19" i="1"/>
  <c r="D19" i="1"/>
  <c r="B18" i="1"/>
  <c r="D17" i="1"/>
  <c r="B15" i="1"/>
  <c r="B10" i="1"/>
  <c r="B4" i="1"/>
  <c r="B9" i="1" s="1"/>
  <c r="A144" i="8" l="1"/>
  <c r="B143" i="8"/>
  <c r="G141" i="8"/>
  <c r="F141" i="8"/>
  <c r="C142" i="8"/>
  <c r="D142" i="8"/>
  <c r="E142" i="8"/>
  <c r="C18" i="1"/>
  <c r="B40" i="1"/>
  <c r="B8" i="1"/>
  <c r="B13" i="1" s="1"/>
  <c r="D18" i="1" s="1"/>
  <c r="B11" i="1"/>
  <c r="F142" i="8" l="1"/>
  <c r="G142" i="8"/>
  <c r="C143" i="8"/>
  <c r="D143" i="8"/>
  <c r="E143" i="8"/>
  <c r="B144" i="8"/>
  <c r="A145" i="8"/>
  <c r="A146" i="8" l="1"/>
  <c r="B145" i="8"/>
  <c r="C144" i="8"/>
  <c r="D144" i="8"/>
  <c r="E144" i="8"/>
  <c r="G143" i="8"/>
  <c r="F143" i="8"/>
  <c r="F144" i="8" l="1"/>
  <c r="G144" i="8"/>
  <c r="E145" i="8"/>
  <c r="C145" i="8"/>
  <c r="D145" i="8"/>
  <c r="B146" i="8"/>
  <c r="A147" i="8"/>
  <c r="C146" i="8" l="1"/>
  <c r="D146" i="8"/>
  <c r="E146" i="8"/>
  <c r="F145" i="8"/>
  <c r="G145" i="8"/>
  <c r="A148" i="8"/>
  <c r="B147" i="8"/>
  <c r="C147" i="8" l="1"/>
  <c r="D147" i="8"/>
  <c r="E147" i="8"/>
  <c r="A149" i="8"/>
  <c r="B148" i="8"/>
  <c r="F146" i="8"/>
  <c r="G146" i="8"/>
  <c r="B149" i="8" l="1"/>
  <c r="A150" i="8"/>
  <c r="C148" i="8"/>
  <c r="D148" i="8"/>
  <c r="E148" i="8"/>
  <c r="F147" i="8"/>
  <c r="G147" i="8"/>
  <c r="F148" i="8" l="1"/>
  <c r="G148" i="8"/>
  <c r="A151" i="8"/>
  <c r="B150" i="8"/>
  <c r="C149" i="8"/>
  <c r="D149" i="8"/>
  <c r="E149" i="8"/>
  <c r="F149" i="8" l="1"/>
  <c r="G149" i="8"/>
  <c r="B151" i="8"/>
  <c r="A152" i="8"/>
  <c r="C150" i="8"/>
  <c r="D150" i="8"/>
  <c r="E150" i="8"/>
  <c r="C151" i="8" l="1"/>
  <c r="D151" i="8"/>
  <c r="E151" i="8"/>
  <c r="F150" i="8"/>
  <c r="G150" i="8"/>
  <c r="A153" i="8"/>
  <c r="B152" i="8"/>
  <c r="D152" i="8" l="1"/>
  <c r="E152" i="8"/>
  <c r="C152" i="8"/>
  <c r="B153" i="8"/>
  <c r="A154" i="8"/>
  <c r="F151" i="8"/>
  <c r="G151" i="8"/>
  <c r="B154" i="8" l="1"/>
  <c r="A155" i="8"/>
  <c r="C153" i="8"/>
  <c r="D153" i="8"/>
  <c r="E153" i="8"/>
  <c r="F152" i="8"/>
  <c r="G152" i="8"/>
  <c r="A156" i="8" l="1"/>
  <c r="B155" i="8"/>
  <c r="F153" i="8"/>
  <c r="G153" i="8"/>
  <c r="C154" i="8"/>
  <c r="D154" i="8"/>
  <c r="E154" i="8"/>
  <c r="F154" i="8" l="1"/>
  <c r="G154" i="8"/>
  <c r="C155" i="8"/>
  <c r="D155" i="8"/>
  <c r="E155" i="8"/>
  <c r="B156" i="8"/>
  <c r="A157" i="8"/>
  <c r="C156" i="8" l="1"/>
  <c r="D156" i="8"/>
  <c r="E156" i="8"/>
  <c r="A158" i="8"/>
  <c r="B157" i="8"/>
  <c r="G155" i="8"/>
  <c r="F155" i="8"/>
  <c r="B158" i="8" l="1"/>
  <c r="A159" i="8"/>
  <c r="E157" i="8"/>
  <c r="D157" i="8"/>
  <c r="C157" i="8"/>
  <c r="F156" i="8"/>
  <c r="G156" i="8"/>
  <c r="F157" i="8" l="1"/>
  <c r="G157" i="8"/>
  <c r="A160" i="8"/>
  <c r="B159" i="8"/>
  <c r="C158" i="8"/>
  <c r="D158" i="8"/>
  <c r="E158" i="8"/>
  <c r="F158" i="8" l="1"/>
  <c r="G158" i="8"/>
  <c r="A161" i="8"/>
  <c r="B160" i="8"/>
  <c r="C159" i="8"/>
  <c r="D159" i="8"/>
  <c r="E159" i="8"/>
  <c r="F159" i="8" l="1"/>
  <c r="G159" i="8"/>
  <c r="B161" i="8"/>
  <c r="A162" i="8"/>
  <c r="C160" i="8"/>
  <c r="D160" i="8"/>
  <c r="E160" i="8"/>
  <c r="C161" i="8" l="1"/>
  <c r="D161" i="8"/>
  <c r="E161" i="8"/>
  <c r="F160" i="8"/>
  <c r="G160" i="8"/>
  <c r="A163" i="8"/>
  <c r="B162" i="8"/>
  <c r="D162" i="8" l="1"/>
  <c r="E162" i="8"/>
  <c r="C162" i="8"/>
  <c r="B163" i="8"/>
  <c r="A164" i="8"/>
  <c r="F161" i="8"/>
  <c r="G161" i="8"/>
  <c r="A165" i="8" l="1"/>
  <c r="B164" i="8"/>
  <c r="C163" i="8"/>
  <c r="D163" i="8"/>
  <c r="E163" i="8"/>
  <c r="F162" i="8"/>
  <c r="G162" i="8"/>
  <c r="F163" i="8" l="1"/>
  <c r="G163" i="8"/>
  <c r="D164" i="8"/>
  <c r="E164" i="8"/>
  <c r="C164" i="8"/>
  <c r="B165" i="8"/>
  <c r="A166" i="8"/>
  <c r="B166" i="8" l="1"/>
  <c r="A167" i="8"/>
  <c r="C165" i="8"/>
  <c r="D165" i="8"/>
  <c r="E165" i="8"/>
  <c r="F164" i="8"/>
  <c r="G164" i="8"/>
  <c r="A168" i="8" l="1"/>
  <c r="B167" i="8"/>
  <c r="F165" i="8"/>
  <c r="G165" i="8"/>
  <c r="C166" i="8"/>
  <c r="D166" i="8"/>
  <c r="E166" i="8"/>
  <c r="F166" i="8" l="1"/>
  <c r="G166" i="8"/>
  <c r="C167" i="8"/>
  <c r="D167" i="8"/>
  <c r="E167" i="8"/>
  <c r="B168" i="8"/>
  <c r="A169" i="8"/>
  <c r="A170" i="8" l="1"/>
  <c r="B169" i="8"/>
  <c r="G167" i="8"/>
  <c r="F167" i="8"/>
  <c r="C168" i="8"/>
  <c r="D168" i="8"/>
  <c r="E168" i="8"/>
  <c r="F168" i="8" l="1"/>
  <c r="G168" i="8"/>
  <c r="E169" i="8"/>
  <c r="C169" i="8"/>
  <c r="D169" i="8"/>
  <c r="B170" i="8"/>
  <c r="A171" i="8"/>
  <c r="A172" i="8" l="1"/>
  <c r="B171" i="8"/>
  <c r="F169" i="8"/>
  <c r="G169" i="8"/>
  <c r="C170" i="8"/>
  <c r="D170" i="8"/>
  <c r="E170" i="8"/>
  <c r="G170" i="8" l="1"/>
  <c r="F170" i="8"/>
  <c r="C171" i="8"/>
  <c r="D171" i="8"/>
  <c r="E171" i="8"/>
  <c r="A173" i="8"/>
  <c r="B172" i="8"/>
  <c r="B173" i="8" l="1"/>
  <c r="A174" i="8"/>
  <c r="C172" i="8"/>
  <c r="D172" i="8"/>
  <c r="E172" i="8"/>
  <c r="F171" i="8"/>
  <c r="G171" i="8"/>
  <c r="F172" i="8" l="1"/>
  <c r="G172" i="8"/>
  <c r="A175" i="8"/>
  <c r="B174" i="8"/>
  <c r="C173" i="8"/>
  <c r="D173" i="8"/>
  <c r="E173" i="8"/>
  <c r="F173" i="8" l="1"/>
  <c r="G173" i="8"/>
  <c r="B175" i="8"/>
  <c r="A176" i="8"/>
  <c r="E174" i="8"/>
  <c r="D174" i="8"/>
  <c r="C174" i="8"/>
  <c r="F174" i="8" l="1"/>
  <c r="G174" i="8"/>
  <c r="A177" i="8"/>
  <c r="B176" i="8"/>
  <c r="C175" i="8"/>
  <c r="D175" i="8"/>
  <c r="E175" i="8"/>
  <c r="F175" i="8" l="1"/>
  <c r="G175" i="8"/>
  <c r="D176" i="8"/>
  <c r="E176" i="8"/>
  <c r="C176" i="8"/>
  <c r="B177" i="8"/>
  <c r="A178" i="8"/>
  <c r="B178" i="8" l="1"/>
  <c r="A179" i="8"/>
  <c r="C177" i="8"/>
  <c r="D177" i="8"/>
  <c r="E177" i="8"/>
  <c r="F176" i="8"/>
  <c r="G176" i="8"/>
  <c r="F177" i="8" l="1"/>
  <c r="G177" i="8"/>
  <c r="A180" i="8"/>
  <c r="B179" i="8"/>
  <c r="C178" i="8"/>
  <c r="D178" i="8"/>
  <c r="E178" i="8"/>
  <c r="F178" i="8" l="1"/>
  <c r="G178" i="8"/>
  <c r="C179" i="8"/>
  <c r="D179" i="8"/>
  <c r="E179" i="8"/>
  <c r="B180" i="8"/>
  <c r="A181" i="8"/>
  <c r="A182" i="8" l="1"/>
  <c r="B181" i="8"/>
  <c r="C180" i="8"/>
  <c r="D180" i="8"/>
  <c r="E180" i="8"/>
  <c r="G179" i="8"/>
  <c r="F179" i="8"/>
  <c r="F180" i="8" l="1"/>
  <c r="G180" i="8"/>
  <c r="E181" i="8"/>
  <c r="C181" i="8"/>
  <c r="D181" i="8"/>
  <c r="B182" i="8"/>
  <c r="A183" i="8"/>
  <c r="A184" i="8" l="1"/>
  <c r="B183" i="8"/>
  <c r="C182" i="8"/>
  <c r="D182" i="8"/>
  <c r="E182" i="8"/>
  <c r="F181" i="8"/>
  <c r="G181" i="8"/>
  <c r="F182" i="8" l="1"/>
  <c r="G182" i="8"/>
  <c r="C183" i="8"/>
  <c r="D183" i="8"/>
  <c r="E183" i="8"/>
  <c r="A185" i="8"/>
  <c r="B184" i="8"/>
  <c r="C184" i="8" l="1"/>
  <c r="D184" i="8"/>
  <c r="E184" i="8"/>
  <c r="B185" i="8"/>
  <c r="A186" i="8"/>
  <c r="F183" i="8"/>
  <c r="G183" i="8"/>
  <c r="A187" i="8" l="1"/>
  <c r="B186" i="8"/>
  <c r="C185" i="8"/>
  <c r="D185" i="8"/>
  <c r="E185" i="8"/>
  <c r="F184" i="8"/>
  <c r="G184" i="8"/>
  <c r="F185" i="8" l="1"/>
  <c r="G185" i="8"/>
  <c r="C186" i="8"/>
  <c r="D186" i="8"/>
  <c r="E186" i="8"/>
  <c r="B187" i="8"/>
  <c r="A188" i="8"/>
  <c r="A189" i="8" l="1"/>
  <c r="B188" i="8"/>
  <c r="C187" i="8"/>
  <c r="D187" i="8"/>
  <c r="E187" i="8"/>
  <c r="F186" i="8"/>
  <c r="G186" i="8"/>
  <c r="F187" i="8" l="1"/>
  <c r="G187" i="8"/>
  <c r="D188" i="8"/>
  <c r="E188" i="8"/>
  <c r="C188" i="8"/>
  <c r="B189" i="8"/>
  <c r="A190" i="8"/>
  <c r="B190" i="8" l="1"/>
  <c r="A191" i="8"/>
  <c r="C189" i="8"/>
  <c r="D189" i="8"/>
  <c r="E189" i="8"/>
  <c r="F188" i="8"/>
  <c r="G188" i="8"/>
  <c r="F189" i="8" l="1"/>
  <c r="G189" i="8"/>
  <c r="A192" i="8"/>
  <c r="B191" i="8"/>
  <c r="C190" i="8"/>
  <c r="D190" i="8"/>
  <c r="E190" i="8"/>
  <c r="F190" i="8" l="1"/>
  <c r="G190" i="8"/>
  <c r="D191" i="8"/>
  <c r="E191" i="8"/>
  <c r="C191" i="8"/>
  <c r="B192" i="8"/>
  <c r="A193" i="8"/>
  <c r="A194" i="8" l="1"/>
  <c r="B193" i="8"/>
  <c r="C192" i="8"/>
  <c r="D192" i="8"/>
  <c r="E192" i="8"/>
  <c r="G191" i="8"/>
  <c r="F191" i="8"/>
  <c r="F192" i="8" l="1"/>
  <c r="G192" i="8"/>
  <c r="E193" i="8"/>
  <c r="C193" i="8"/>
  <c r="D193" i="8"/>
  <c r="B194" i="8"/>
  <c r="A195" i="8"/>
  <c r="A196" i="8" l="1"/>
  <c r="B195" i="8"/>
  <c r="C194" i="8"/>
  <c r="D194" i="8"/>
  <c r="E194" i="8"/>
  <c r="G193" i="8"/>
  <c r="F193" i="8"/>
  <c r="G194" i="8" l="1"/>
  <c r="F194" i="8"/>
  <c r="C195" i="8"/>
  <c r="E195" i="8"/>
  <c r="D195" i="8"/>
  <c r="A197" i="8"/>
  <c r="B196" i="8"/>
  <c r="C196" i="8" l="1"/>
  <c r="D196" i="8"/>
  <c r="E196" i="8"/>
  <c r="B197" i="8"/>
  <c r="A198" i="8"/>
  <c r="F195" i="8"/>
  <c r="G195" i="8"/>
  <c r="A199" i="8" l="1"/>
  <c r="B198" i="8"/>
  <c r="C197" i="8"/>
  <c r="D197" i="8"/>
  <c r="E197" i="8"/>
  <c r="F196" i="8"/>
  <c r="G196" i="8"/>
  <c r="F197" i="8" l="1"/>
  <c r="G197" i="8"/>
  <c r="C198" i="8"/>
  <c r="D198" i="8"/>
  <c r="E198" i="8"/>
  <c r="B199" i="8"/>
  <c r="A200" i="8"/>
  <c r="A201" i="8" l="1"/>
  <c r="B200" i="8"/>
  <c r="C199" i="8"/>
  <c r="D199" i="8"/>
  <c r="E199" i="8"/>
  <c r="F198" i="8"/>
  <c r="G198" i="8"/>
  <c r="F199" i="8" l="1"/>
  <c r="G199" i="8"/>
  <c r="D200" i="8"/>
  <c r="C200" i="8"/>
  <c r="E200" i="8"/>
  <c r="B201" i="8"/>
  <c r="A202" i="8"/>
  <c r="B202" i="8" l="1"/>
  <c r="A203" i="8"/>
  <c r="F200" i="8"/>
  <c r="G200" i="8"/>
  <c r="C201" i="8"/>
  <c r="D201" i="8"/>
  <c r="E201" i="8"/>
  <c r="F201" i="8" l="1"/>
  <c r="G201" i="8"/>
  <c r="B203" i="8"/>
  <c r="A204" i="8"/>
  <c r="D202" i="8"/>
  <c r="E202" i="8"/>
  <c r="C202" i="8"/>
  <c r="F202" i="8" l="1"/>
  <c r="G202" i="8"/>
  <c r="B204" i="8"/>
  <c r="A205" i="8"/>
  <c r="C203" i="8"/>
  <c r="D203" i="8"/>
  <c r="E203" i="8"/>
  <c r="G203" i="8" l="1"/>
  <c r="F203" i="8"/>
  <c r="A206" i="8"/>
  <c r="B205" i="8"/>
  <c r="C204" i="8"/>
  <c r="D204" i="8"/>
  <c r="E204" i="8"/>
  <c r="F204" i="8" l="1"/>
  <c r="G204" i="8"/>
  <c r="E205" i="8"/>
  <c r="C205" i="8"/>
  <c r="D205" i="8"/>
  <c r="B206" i="8"/>
  <c r="A207" i="8"/>
  <c r="A208" i="8" l="1"/>
  <c r="B207" i="8"/>
  <c r="C206" i="8"/>
  <c r="D206" i="8"/>
  <c r="E206" i="8"/>
  <c r="G205" i="8"/>
  <c r="F205" i="8"/>
  <c r="F206" i="8" l="1"/>
  <c r="G206" i="8"/>
  <c r="C207" i="8"/>
  <c r="E207" i="8"/>
  <c r="D207" i="8"/>
  <c r="A209" i="8"/>
  <c r="B208" i="8"/>
  <c r="C208" i="8" l="1"/>
  <c r="D208" i="8"/>
  <c r="E208" i="8"/>
  <c r="B209" i="8"/>
  <c r="A210" i="8"/>
  <c r="F207" i="8"/>
  <c r="G207" i="8"/>
  <c r="A211" i="8" l="1"/>
  <c r="B210" i="8"/>
  <c r="D209" i="8"/>
  <c r="C209" i="8"/>
  <c r="E209" i="8"/>
  <c r="F208" i="8"/>
  <c r="G208" i="8"/>
  <c r="F209" i="8" l="1"/>
  <c r="G209" i="8"/>
  <c r="D210" i="8"/>
  <c r="E210" i="8"/>
  <c r="C210" i="8"/>
  <c r="B211" i="8"/>
  <c r="A212" i="8"/>
  <c r="B212" i="8" l="1"/>
  <c r="A213" i="8"/>
  <c r="C211" i="8"/>
  <c r="D211" i="8"/>
  <c r="E211" i="8"/>
  <c r="F210" i="8"/>
  <c r="G210" i="8"/>
  <c r="F211" i="8" l="1"/>
  <c r="G211" i="8"/>
  <c r="A214" i="8"/>
  <c r="B213" i="8"/>
  <c r="C212" i="8"/>
  <c r="D212" i="8"/>
  <c r="E212" i="8"/>
  <c r="F212" i="8" l="1"/>
  <c r="G212" i="8"/>
  <c r="C213" i="8"/>
  <c r="E213" i="8"/>
  <c r="D213" i="8"/>
  <c r="B214" i="8"/>
  <c r="A215" i="8"/>
  <c r="C214" i="8" l="1"/>
  <c r="D214" i="8"/>
  <c r="E214" i="8"/>
  <c r="A216" i="8"/>
  <c r="B215" i="8"/>
  <c r="G213" i="8"/>
  <c r="F213" i="8"/>
  <c r="E215" i="8" l="1"/>
  <c r="C215" i="8"/>
  <c r="D215" i="8"/>
  <c r="B216" i="8"/>
  <c r="A217" i="8"/>
  <c r="F214" i="8"/>
  <c r="G214" i="8"/>
  <c r="A218" i="8" l="1"/>
  <c r="B217" i="8"/>
  <c r="C216" i="8"/>
  <c r="D216" i="8"/>
  <c r="E216" i="8"/>
  <c r="F215" i="8"/>
  <c r="G215" i="8"/>
  <c r="F216" i="8" l="1"/>
  <c r="G216" i="8"/>
  <c r="C217" i="8"/>
  <c r="D217" i="8"/>
  <c r="E217" i="8"/>
  <c r="A219" i="8"/>
  <c r="B218" i="8"/>
  <c r="B219" i="8" l="1"/>
  <c r="A220" i="8"/>
  <c r="C218" i="8"/>
  <c r="D218" i="8"/>
  <c r="E218" i="8"/>
  <c r="F217" i="8"/>
  <c r="G217" i="8"/>
  <c r="F218" i="8" l="1"/>
  <c r="G218" i="8"/>
  <c r="A221" i="8"/>
  <c r="B220" i="8"/>
  <c r="C219" i="8"/>
  <c r="D219" i="8"/>
  <c r="E219" i="8"/>
  <c r="F219" i="8" l="1"/>
  <c r="G219" i="8"/>
  <c r="E220" i="8"/>
  <c r="C220" i="8"/>
  <c r="D220" i="8"/>
  <c r="B221" i="8"/>
  <c r="A222" i="8"/>
  <c r="A223" i="8" l="1"/>
  <c r="B222" i="8"/>
  <c r="C221" i="8"/>
  <c r="D221" i="8"/>
  <c r="E221" i="8"/>
  <c r="F220" i="8"/>
  <c r="G220" i="8"/>
  <c r="F221" i="8" l="1"/>
  <c r="G221" i="8"/>
  <c r="D222" i="8"/>
  <c r="E222" i="8"/>
  <c r="C222" i="8"/>
  <c r="B223" i="8"/>
  <c r="A224" i="8"/>
  <c r="B224" i="8" l="1"/>
  <c r="A225" i="8"/>
  <c r="C223" i="8"/>
  <c r="D223" i="8"/>
  <c r="E223" i="8"/>
  <c r="F222" i="8"/>
  <c r="G222" i="8"/>
  <c r="F223" i="8" l="1"/>
  <c r="G223" i="8"/>
  <c r="A226" i="8"/>
  <c r="B225" i="8"/>
  <c r="C224" i="8"/>
  <c r="D224" i="8"/>
  <c r="E224" i="8"/>
  <c r="F224" i="8" l="1"/>
  <c r="G224" i="8"/>
  <c r="C225" i="8"/>
  <c r="D225" i="8"/>
  <c r="E225" i="8"/>
  <c r="B226" i="8"/>
  <c r="A227" i="8"/>
  <c r="A228" i="8" l="1"/>
  <c r="B227" i="8"/>
  <c r="C226" i="8"/>
  <c r="D226" i="8"/>
  <c r="E226" i="8"/>
  <c r="G225" i="8"/>
  <c r="F225" i="8"/>
  <c r="F226" i="8" l="1"/>
  <c r="G226" i="8"/>
  <c r="E227" i="8"/>
  <c r="D227" i="8"/>
  <c r="C227" i="8"/>
  <c r="B228" i="8"/>
  <c r="A229" i="8"/>
  <c r="A230" i="8" l="1"/>
  <c r="B229" i="8"/>
  <c r="C228" i="8"/>
  <c r="D228" i="8"/>
  <c r="E228" i="8"/>
  <c r="F227" i="8"/>
  <c r="G227" i="8"/>
  <c r="F228" i="8" l="1"/>
  <c r="G228" i="8"/>
  <c r="C229" i="8"/>
  <c r="D229" i="8"/>
  <c r="E229" i="8"/>
  <c r="A231" i="8"/>
  <c r="B230" i="8"/>
  <c r="C230" i="8" l="1"/>
  <c r="D230" i="8"/>
  <c r="E230" i="8"/>
  <c r="B231" i="8"/>
  <c r="A232" i="8"/>
  <c r="F229" i="8"/>
  <c r="G229" i="8"/>
  <c r="A233" i="8" l="1"/>
  <c r="B232" i="8"/>
  <c r="C231" i="8"/>
  <c r="D231" i="8"/>
  <c r="E231" i="8"/>
  <c r="F230" i="8"/>
  <c r="G230" i="8"/>
  <c r="F231" i="8" l="1"/>
  <c r="G231" i="8"/>
  <c r="C232" i="8"/>
  <c r="D232" i="8"/>
  <c r="E232" i="8"/>
  <c r="B233" i="8"/>
  <c r="A234" i="8"/>
  <c r="A235" i="8" l="1"/>
  <c r="B234" i="8"/>
  <c r="C233" i="8"/>
  <c r="D233" i="8"/>
  <c r="E233" i="8"/>
  <c r="F232" i="8"/>
  <c r="G232" i="8"/>
  <c r="F233" i="8" l="1"/>
  <c r="G233" i="8"/>
  <c r="D234" i="8"/>
  <c r="E234" i="8"/>
  <c r="C234" i="8"/>
  <c r="B235" i="8"/>
  <c r="A236" i="8"/>
  <c r="B236" i="8" l="1"/>
  <c r="A237" i="8"/>
  <c r="C235" i="8"/>
  <c r="D235" i="8"/>
  <c r="E235" i="8"/>
  <c r="F234" i="8"/>
  <c r="G234" i="8"/>
  <c r="G235" i="8" l="1"/>
  <c r="F235" i="8"/>
  <c r="A238" i="8"/>
  <c r="B237" i="8"/>
  <c r="C236" i="8"/>
  <c r="D236" i="8"/>
  <c r="E236" i="8"/>
  <c r="F236" i="8" l="1"/>
  <c r="G236" i="8"/>
  <c r="C237" i="8"/>
  <c r="D237" i="8"/>
  <c r="E237" i="8"/>
  <c r="B238" i="8"/>
  <c r="A239" i="8"/>
  <c r="A240" i="8" l="1"/>
  <c r="B239" i="8"/>
  <c r="C238" i="8"/>
  <c r="D238" i="8"/>
  <c r="E238" i="8"/>
  <c r="G237" i="8"/>
  <c r="F237" i="8"/>
  <c r="F238" i="8" l="1"/>
  <c r="G238" i="8"/>
  <c r="E239" i="8"/>
  <c r="C239" i="8"/>
  <c r="D239" i="8"/>
  <c r="B240" i="8"/>
  <c r="A241" i="8"/>
  <c r="C240" i="8" l="1"/>
  <c r="D240" i="8"/>
  <c r="E240" i="8"/>
  <c r="A242" i="8"/>
  <c r="B241" i="8"/>
  <c r="F239" i="8"/>
  <c r="G239" i="8"/>
  <c r="C241" i="8" l="1"/>
  <c r="D241" i="8"/>
  <c r="E241" i="8"/>
  <c r="A243" i="8"/>
  <c r="B242" i="8"/>
  <c r="F240" i="8"/>
  <c r="G240" i="8"/>
  <c r="C242" i="8" l="1"/>
  <c r="D242" i="8"/>
  <c r="E242" i="8"/>
  <c r="B243" i="8"/>
  <c r="A244" i="8"/>
  <c r="F241" i="8"/>
  <c r="G241" i="8"/>
  <c r="A245" i="8" l="1"/>
  <c r="B244" i="8"/>
  <c r="C243" i="8"/>
  <c r="D243" i="8"/>
  <c r="E243" i="8"/>
  <c r="F242" i="8"/>
  <c r="G242" i="8"/>
  <c r="F243" i="8" l="1"/>
  <c r="G243" i="8"/>
  <c r="C244" i="8"/>
  <c r="D244" i="8"/>
  <c r="E244" i="8"/>
  <c r="B245" i="8"/>
  <c r="A246" i="8"/>
  <c r="A247" i="8" l="1"/>
  <c r="B246" i="8"/>
  <c r="C245" i="8"/>
  <c r="D245" i="8"/>
  <c r="E245" i="8"/>
  <c r="F244" i="8"/>
  <c r="G244" i="8"/>
  <c r="F245" i="8" l="1"/>
  <c r="G245" i="8"/>
  <c r="D246" i="8"/>
  <c r="E246" i="8"/>
  <c r="C246" i="8"/>
  <c r="B247" i="8"/>
  <c r="A248" i="8"/>
  <c r="C247" i="8" l="1"/>
  <c r="D247" i="8"/>
  <c r="E247" i="8"/>
  <c r="B248" i="8"/>
  <c r="A249" i="8"/>
  <c r="F246" i="8"/>
  <c r="G246" i="8"/>
  <c r="A250" i="8" l="1"/>
  <c r="B249" i="8"/>
  <c r="C248" i="8"/>
  <c r="D248" i="8"/>
  <c r="E248" i="8"/>
  <c r="F247" i="8"/>
  <c r="G247" i="8"/>
  <c r="F248" i="8" l="1"/>
  <c r="G248" i="8"/>
  <c r="C249" i="8"/>
  <c r="E249" i="8"/>
  <c r="D249" i="8"/>
  <c r="B250" i="8"/>
  <c r="A251" i="8"/>
  <c r="C250" i="8" l="1"/>
  <c r="D250" i="8"/>
  <c r="E250" i="8"/>
  <c r="A252" i="8"/>
  <c r="B251" i="8"/>
  <c r="G249" i="8"/>
  <c r="F249" i="8"/>
  <c r="B252" i="8" l="1"/>
  <c r="A253" i="8"/>
  <c r="E251" i="8"/>
  <c r="C251" i="8"/>
  <c r="D251" i="8"/>
  <c r="F250" i="8"/>
  <c r="G250" i="8"/>
  <c r="F251" i="8" l="1"/>
  <c r="G251" i="8"/>
  <c r="A254" i="8"/>
  <c r="B253" i="8"/>
  <c r="C252" i="8"/>
  <c r="D252" i="8"/>
  <c r="E252" i="8"/>
  <c r="F252" i="8" l="1"/>
  <c r="G252" i="8"/>
  <c r="C253" i="8"/>
  <c r="D253" i="8"/>
  <c r="E253" i="8"/>
  <c r="A255" i="8"/>
  <c r="B254" i="8"/>
  <c r="F253" i="8" l="1"/>
  <c r="G253" i="8"/>
  <c r="C254" i="8"/>
  <c r="E254" i="8"/>
  <c r="D254" i="8"/>
  <c r="B255" i="8"/>
  <c r="A256" i="8"/>
  <c r="C255" i="8" l="1"/>
  <c r="D255" i="8"/>
  <c r="E255" i="8"/>
  <c r="A257" i="8"/>
  <c r="B256" i="8"/>
  <c r="F254" i="8"/>
  <c r="G254" i="8"/>
  <c r="C256" i="8" l="1"/>
  <c r="D256" i="8"/>
  <c r="E256" i="8"/>
  <c r="B257" i="8"/>
  <c r="A258" i="8"/>
  <c r="F255" i="8"/>
  <c r="G255" i="8"/>
  <c r="A259" i="8" l="1"/>
  <c r="B258" i="8"/>
  <c r="C257" i="8"/>
  <c r="D257" i="8"/>
  <c r="E257" i="8"/>
  <c r="F256" i="8"/>
  <c r="G256" i="8"/>
  <c r="F257" i="8" l="1"/>
  <c r="G257" i="8"/>
  <c r="D258" i="8"/>
  <c r="E258" i="8"/>
  <c r="C258" i="8"/>
  <c r="B259" i="8"/>
  <c r="A260" i="8"/>
  <c r="B260" i="8" l="1"/>
  <c r="A261" i="8"/>
  <c r="C259" i="8"/>
  <c r="D259" i="8"/>
  <c r="E259" i="8"/>
  <c r="F258" i="8"/>
  <c r="G258" i="8"/>
  <c r="F259" i="8" l="1"/>
  <c r="G259" i="8"/>
  <c r="A262" i="8"/>
  <c r="B261" i="8"/>
  <c r="C260" i="8"/>
  <c r="D260" i="8"/>
  <c r="E260" i="8"/>
  <c r="F260" i="8" l="1"/>
  <c r="G260" i="8"/>
  <c r="C261" i="8"/>
  <c r="D261" i="8"/>
  <c r="E261" i="8"/>
  <c r="B262" i="8"/>
  <c r="A263" i="8"/>
  <c r="C262" i="8" l="1"/>
  <c r="D262" i="8"/>
  <c r="E262" i="8"/>
  <c r="A264" i="8"/>
  <c r="B263" i="8"/>
  <c r="G261" i="8"/>
  <c r="F261" i="8"/>
  <c r="E263" i="8" l="1"/>
  <c r="C263" i="8"/>
  <c r="D263" i="8"/>
  <c r="B264" i="8"/>
  <c r="A265" i="8"/>
  <c r="F262" i="8"/>
  <c r="G262" i="8"/>
  <c r="A266" i="8" l="1"/>
  <c r="B265" i="8"/>
  <c r="C264" i="8"/>
  <c r="D264" i="8"/>
  <c r="E264" i="8"/>
  <c r="F263" i="8"/>
  <c r="G263" i="8"/>
  <c r="F264" i="8" l="1"/>
  <c r="G264" i="8"/>
  <c r="C265" i="8"/>
  <c r="D265" i="8"/>
  <c r="E265" i="8"/>
  <c r="A267" i="8"/>
  <c r="B266" i="8"/>
  <c r="B267" i="8" l="1"/>
  <c r="A268" i="8"/>
  <c r="C266" i="8"/>
  <c r="D266" i="8"/>
  <c r="E266" i="8"/>
  <c r="F265" i="8"/>
  <c r="G265" i="8"/>
  <c r="F266" i="8" l="1"/>
  <c r="G266" i="8"/>
  <c r="A269" i="8"/>
  <c r="B268" i="8"/>
  <c r="C267" i="8"/>
  <c r="D267" i="8"/>
  <c r="E267" i="8"/>
  <c r="F267" i="8" l="1"/>
  <c r="G267" i="8"/>
  <c r="C268" i="8"/>
  <c r="D268" i="8"/>
  <c r="E268" i="8"/>
  <c r="B269" i="8"/>
  <c r="A270" i="8"/>
  <c r="C269" i="8" l="1"/>
  <c r="D269" i="8"/>
  <c r="E269" i="8"/>
  <c r="A271" i="8"/>
  <c r="B270" i="8"/>
  <c r="F268" i="8"/>
  <c r="G268" i="8"/>
  <c r="D270" i="8" l="1"/>
  <c r="E270" i="8"/>
  <c r="C270" i="8"/>
  <c r="B271" i="8"/>
  <c r="A272" i="8"/>
  <c r="F269" i="8"/>
  <c r="G269" i="8"/>
  <c r="B272" i="8" l="1"/>
  <c r="A273" i="8"/>
  <c r="C271" i="8"/>
  <c r="D271" i="8"/>
  <c r="E271" i="8"/>
  <c r="F270" i="8"/>
  <c r="G270" i="8"/>
  <c r="F271" i="8" l="1"/>
  <c r="G271" i="8"/>
  <c r="A274" i="8"/>
  <c r="B273" i="8"/>
  <c r="C272" i="8"/>
  <c r="D272" i="8"/>
  <c r="E272" i="8"/>
  <c r="F272" i="8" l="1"/>
  <c r="G272" i="8"/>
  <c r="C273" i="8"/>
  <c r="D273" i="8"/>
  <c r="E273" i="8"/>
  <c r="B274" i="8"/>
  <c r="A275" i="8"/>
  <c r="A276" i="8" l="1"/>
  <c r="B275" i="8"/>
  <c r="G273" i="8"/>
  <c r="F273" i="8"/>
  <c r="C274" i="8"/>
  <c r="D274" i="8"/>
  <c r="E274" i="8"/>
  <c r="F274" i="8" l="1"/>
  <c r="G274" i="8"/>
  <c r="E275" i="8"/>
  <c r="C275" i="8"/>
  <c r="D275" i="8"/>
  <c r="B276" i="8"/>
  <c r="A277" i="8"/>
  <c r="C276" i="8" l="1"/>
  <c r="D276" i="8"/>
  <c r="E276" i="8"/>
  <c r="A278" i="8"/>
  <c r="B277" i="8"/>
  <c r="F275" i="8"/>
  <c r="G275" i="8"/>
  <c r="C277" i="8" l="1"/>
  <c r="D277" i="8"/>
  <c r="E277" i="8"/>
  <c r="A279" i="8"/>
  <c r="B278" i="8"/>
  <c r="F276" i="8"/>
  <c r="G276" i="8"/>
  <c r="B279" i="8" l="1"/>
  <c r="A280" i="8"/>
  <c r="E278" i="8"/>
  <c r="C278" i="8"/>
  <c r="D278" i="8"/>
  <c r="F277" i="8"/>
  <c r="G277" i="8"/>
  <c r="B280" i="8" l="1"/>
  <c r="A281" i="8"/>
  <c r="G278" i="8"/>
  <c r="F278" i="8"/>
  <c r="D279" i="8"/>
  <c r="E279" i="8"/>
  <c r="C279" i="8"/>
  <c r="F279" i="8" l="1"/>
  <c r="G279" i="8"/>
  <c r="B281" i="8"/>
  <c r="A282" i="8"/>
  <c r="C280" i="8"/>
  <c r="D280" i="8"/>
  <c r="E280" i="8"/>
  <c r="F280" i="8" l="1"/>
  <c r="G280" i="8"/>
  <c r="A283" i="8"/>
  <c r="B282" i="8"/>
  <c r="C281" i="8"/>
  <c r="D281" i="8"/>
  <c r="E281" i="8"/>
  <c r="G281" i="8" l="1"/>
  <c r="F281" i="8"/>
  <c r="D282" i="8"/>
  <c r="E282" i="8"/>
  <c r="C282" i="8"/>
  <c r="B283" i="8"/>
  <c r="A284" i="8"/>
  <c r="B284" i="8" l="1"/>
  <c r="A285" i="8"/>
  <c r="C283" i="8"/>
  <c r="D283" i="8"/>
  <c r="E283" i="8"/>
  <c r="G282" i="8"/>
  <c r="F282" i="8"/>
  <c r="F283" i="8" l="1"/>
  <c r="G283" i="8"/>
  <c r="A286" i="8"/>
  <c r="B285" i="8"/>
  <c r="C284" i="8"/>
  <c r="E284" i="8"/>
  <c r="D284" i="8"/>
  <c r="F284" i="8" l="1"/>
  <c r="G284" i="8"/>
  <c r="D285" i="8"/>
  <c r="C285" i="8"/>
  <c r="E285" i="8"/>
  <c r="B286" i="8"/>
  <c r="A287" i="8"/>
  <c r="C286" i="8" l="1"/>
  <c r="D286" i="8"/>
  <c r="E286" i="8"/>
  <c r="A288" i="8"/>
  <c r="B287" i="8"/>
  <c r="G285" i="8"/>
  <c r="F285" i="8"/>
  <c r="E287" i="8" l="1"/>
  <c r="C287" i="8"/>
  <c r="D287" i="8"/>
  <c r="B288" i="8"/>
  <c r="A289" i="8"/>
  <c r="F286" i="8"/>
  <c r="G286" i="8"/>
  <c r="A290" i="8" l="1"/>
  <c r="B289" i="8"/>
  <c r="C288" i="8"/>
  <c r="D288" i="8"/>
  <c r="E288" i="8"/>
  <c r="F287" i="8"/>
  <c r="G287" i="8"/>
  <c r="F288" i="8" l="1"/>
  <c r="G288" i="8"/>
  <c r="C289" i="8"/>
  <c r="D289" i="8"/>
  <c r="E289" i="8"/>
  <c r="A291" i="8"/>
  <c r="B290" i="8"/>
  <c r="B291" i="8" l="1"/>
  <c r="A292" i="8"/>
  <c r="C290" i="8"/>
  <c r="D290" i="8"/>
  <c r="E290" i="8"/>
  <c r="F289" i="8"/>
  <c r="G289" i="8"/>
  <c r="G290" i="8" l="1"/>
  <c r="F290" i="8"/>
  <c r="A293" i="8"/>
  <c r="B292" i="8"/>
  <c r="D291" i="8"/>
  <c r="E291" i="8"/>
  <c r="C291" i="8"/>
  <c r="F291" i="8" l="1"/>
  <c r="G291" i="8"/>
  <c r="E292" i="8"/>
  <c r="D292" i="8"/>
  <c r="C292" i="8"/>
  <c r="B293" i="8"/>
  <c r="A294" i="8"/>
  <c r="B294" i="8" l="1"/>
  <c r="A295" i="8"/>
  <c r="C293" i="8"/>
  <c r="D293" i="8"/>
  <c r="E293" i="8"/>
  <c r="F292" i="8"/>
  <c r="G292" i="8"/>
  <c r="F293" i="8" l="1"/>
  <c r="G293" i="8"/>
  <c r="A296" i="8"/>
  <c r="B295" i="8"/>
  <c r="D294" i="8"/>
  <c r="E294" i="8"/>
  <c r="C294" i="8"/>
  <c r="D295" i="8" l="1"/>
  <c r="E295" i="8"/>
  <c r="C295" i="8"/>
  <c r="G294" i="8"/>
  <c r="F294" i="8"/>
  <c r="B296" i="8"/>
  <c r="A297" i="8"/>
  <c r="B297" i="8" l="1"/>
  <c r="A298" i="8"/>
  <c r="E296" i="8"/>
  <c r="C296" i="8"/>
  <c r="D296" i="8"/>
  <c r="F295" i="8"/>
  <c r="G295" i="8"/>
  <c r="F296" i="8" l="1"/>
  <c r="G296" i="8"/>
  <c r="B298" i="8"/>
  <c r="A299" i="8"/>
  <c r="C297" i="8"/>
  <c r="E297" i="8"/>
  <c r="D297" i="8"/>
  <c r="F297" i="8" l="1"/>
  <c r="G297" i="8"/>
  <c r="A300" i="8"/>
  <c r="B299" i="8"/>
  <c r="C298" i="8"/>
  <c r="D298" i="8"/>
  <c r="E298" i="8"/>
  <c r="F298" i="8" l="1"/>
  <c r="G298" i="8"/>
  <c r="C299" i="8"/>
  <c r="D299" i="8"/>
  <c r="E299" i="8"/>
  <c r="A301" i="8"/>
  <c r="B300" i="8"/>
  <c r="B301" i="8" l="1"/>
  <c r="A302" i="8"/>
  <c r="E300" i="8"/>
  <c r="C300" i="8"/>
  <c r="D300" i="8"/>
  <c r="F299" i="8"/>
  <c r="G299" i="8"/>
  <c r="F300" i="8" l="1"/>
  <c r="G300" i="8"/>
  <c r="A303" i="8"/>
  <c r="B302" i="8"/>
  <c r="C301" i="8"/>
  <c r="D301" i="8"/>
  <c r="E301" i="8"/>
  <c r="F301" i="8" l="1"/>
  <c r="G301" i="8"/>
  <c r="E302" i="8"/>
  <c r="C302" i="8"/>
  <c r="D302" i="8"/>
  <c r="B303" i="8"/>
  <c r="A304" i="8"/>
  <c r="A305" i="8" l="1"/>
  <c r="B304" i="8"/>
  <c r="D303" i="8"/>
  <c r="C303" i="8"/>
  <c r="E303" i="8"/>
  <c r="G302" i="8"/>
  <c r="F302" i="8"/>
  <c r="F303" i="8" l="1"/>
  <c r="G303" i="8"/>
  <c r="D304" i="8"/>
  <c r="C304" i="8"/>
  <c r="E304" i="8"/>
  <c r="B305" i="8"/>
  <c r="A306" i="8"/>
  <c r="F304" i="8" l="1"/>
  <c r="G304" i="8"/>
  <c r="A307" i="8"/>
  <c r="B306" i="8"/>
  <c r="C305" i="8"/>
  <c r="D305" i="8"/>
  <c r="E305" i="8"/>
  <c r="F305" i="8" l="1"/>
  <c r="G305" i="8"/>
  <c r="E306" i="8"/>
  <c r="D306" i="8"/>
  <c r="C306" i="8"/>
  <c r="B307" i="8"/>
  <c r="A308" i="8"/>
  <c r="C307" i="8" l="1"/>
  <c r="D307" i="8"/>
  <c r="E307" i="8"/>
  <c r="B308" i="8"/>
  <c r="A309" i="8"/>
  <c r="G306" i="8"/>
  <c r="F306" i="8"/>
  <c r="B309" i="8" l="1"/>
  <c r="A310" i="8"/>
  <c r="E308" i="8"/>
  <c r="D308" i="8"/>
  <c r="C308" i="8"/>
  <c r="G307" i="8"/>
  <c r="F307" i="8"/>
  <c r="B310" i="8" l="1"/>
  <c r="A311" i="8"/>
  <c r="G308" i="8"/>
  <c r="F308" i="8"/>
  <c r="D309" i="8"/>
  <c r="C309" i="8"/>
  <c r="E309" i="8"/>
  <c r="A312" i="8" l="1"/>
  <c r="B311" i="8"/>
  <c r="G309" i="8"/>
  <c r="F309" i="8"/>
  <c r="C310" i="8"/>
  <c r="D310" i="8"/>
  <c r="E310" i="8"/>
  <c r="E311" i="8" l="1"/>
  <c r="C311" i="8"/>
  <c r="D311" i="8"/>
  <c r="F310" i="8"/>
  <c r="G310" i="8"/>
  <c r="B312" i="8"/>
  <c r="A313" i="8"/>
  <c r="B313" i="8" l="1"/>
  <c r="A314" i="8"/>
  <c r="C312" i="8"/>
  <c r="E312" i="8"/>
  <c r="D312" i="8"/>
  <c r="F311" i="8"/>
  <c r="G311" i="8"/>
  <c r="B314" i="8" l="1"/>
  <c r="A315" i="8"/>
  <c r="F312" i="8"/>
  <c r="G312" i="8"/>
  <c r="E313" i="8"/>
  <c r="D313" i="8"/>
  <c r="C313" i="8"/>
  <c r="A316" i="8" l="1"/>
  <c r="B315" i="8"/>
  <c r="F313" i="8"/>
  <c r="G313" i="8"/>
  <c r="C314" i="8"/>
  <c r="D314" i="8"/>
  <c r="E314" i="8"/>
  <c r="F314" i="8" l="1"/>
  <c r="G314" i="8"/>
  <c r="D315" i="8"/>
  <c r="E315" i="8"/>
  <c r="C315" i="8"/>
  <c r="B316" i="8"/>
  <c r="A317" i="8"/>
  <c r="B317" i="8" s="1"/>
  <c r="D317" i="8" l="1"/>
  <c r="E317" i="8"/>
  <c r="C317" i="8"/>
  <c r="D316" i="8"/>
  <c r="C316" i="8"/>
  <c r="E316" i="8"/>
  <c r="F315" i="8"/>
  <c r="G315" i="8"/>
  <c r="G316" i="8" l="1"/>
  <c r="F316" i="8"/>
  <c r="G317" i="8"/>
  <c r="F317" i="8"/>
</calcChain>
</file>

<file path=xl/sharedStrings.xml><?xml version="1.0" encoding="utf-8"?>
<sst xmlns="http://schemas.openxmlformats.org/spreadsheetml/2006/main" count="115" uniqueCount="79">
  <si>
    <t>HD Wing Parameters</t>
  </si>
  <si>
    <t>Wing Span (ft)</t>
  </si>
  <si>
    <t>Projected Area (ft^2)</t>
  </si>
  <si>
    <t>AR</t>
  </si>
  <si>
    <t>Sweep Angle (deg)</t>
  </si>
  <si>
    <t>Root Chord (ft)</t>
  </si>
  <si>
    <t>Tip Chord (ft)</t>
  </si>
  <si>
    <t>Wing Tip/Root Ratio</t>
  </si>
  <si>
    <t>Wing Efficiency Factor</t>
  </si>
  <si>
    <t>2D Lift Slope</t>
  </si>
  <si>
    <t>3D Lift Slope</t>
  </si>
  <si>
    <t>Mass (lb)</t>
  </si>
  <si>
    <t>Mean Aerodynamic Chord (ft)</t>
  </si>
  <si>
    <t>Zero-Lift Angle of Attack (deg)</t>
  </si>
  <si>
    <t>Zero-Lift Angle of Attack (rad)</t>
  </si>
  <si>
    <t>Component</t>
  </si>
  <si>
    <t>Planform Area (in^2)</t>
  </si>
  <si>
    <t>Wetted Area (in^2)</t>
  </si>
  <si>
    <t>Reference Length (in)</t>
  </si>
  <si>
    <t>Reference Type</t>
  </si>
  <si>
    <t>Laminar %</t>
  </si>
  <si>
    <t>Turbulence %</t>
  </si>
  <si>
    <t>Form Factor</t>
  </si>
  <si>
    <t>Fuselage</t>
  </si>
  <si>
    <t>fuse length</t>
  </si>
  <si>
    <t>Wing</t>
  </si>
  <si>
    <t>MAC</t>
  </si>
  <si>
    <t>Vertical Stabs (2)</t>
  </si>
  <si>
    <t>Center Fuselage Pods (2)</t>
  </si>
  <si>
    <t>pod length</t>
  </si>
  <si>
    <t>Center Wing Pods (2)</t>
  </si>
  <si>
    <t>Wing Tip Pods (2)</t>
  </si>
  <si>
    <t>Rear Pod (1)</t>
  </si>
  <si>
    <t>modify</t>
  </si>
  <si>
    <t>Form Factor Data</t>
  </si>
  <si>
    <t>Fuselage l/d</t>
  </si>
  <si>
    <t>Raymer 12.31</t>
  </si>
  <si>
    <t>Wing (x/c)m</t>
  </si>
  <si>
    <t>Raymer 12.30</t>
  </si>
  <si>
    <t>Wing t/c</t>
  </si>
  <si>
    <t>Wing lambda m</t>
  </si>
  <si>
    <t>Body Pods l/d</t>
  </si>
  <si>
    <t>Raymer 12.32</t>
  </si>
  <si>
    <t>Mid Wing Pods l/d</t>
  </si>
  <si>
    <t>Far wing Pods l/d</t>
  </si>
  <si>
    <t>Back Pod l/d</t>
  </si>
  <si>
    <t>V tail t/c</t>
  </si>
  <si>
    <t>V tail (x/c)m</t>
  </si>
  <si>
    <t>V tail lambda m</t>
  </si>
  <si>
    <t>Planform Area (ft^2)</t>
  </si>
  <si>
    <t>`````````</t>
  </si>
  <si>
    <t>Thickness-to-Chord</t>
  </si>
  <si>
    <t>Angle of Attack (deg)</t>
  </si>
  <si>
    <t>Angle of Attack (rad)</t>
  </si>
  <si>
    <t>3D Lift Coefficient</t>
  </si>
  <si>
    <t>CL</t>
  </si>
  <si>
    <t>Value</t>
  </si>
  <si>
    <t>Wing Span (in)</t>
  </si>
  <si>
    <t>Projected Area (in^2)</t>
  </si>
  <si>
    <t>Root Chord (in)</t>
  </si>
  <si>
    <t>Tip Chord (in)</t>
  </si>
  <si>
    <t>Mean Aerodynamic Chord (in)</t>
  </si>
  <si>
    <t>Interference Factor</t>
  </si>
  <si>
    <t>mm^2</t>
  </si>
  <si>
    <t>in^2</t>
  </si>
  <si>
    <t>Bank Radius</t>
  </si>
  <si>
    <t>Bank Angle, phi = atan(V^2/gR)</t>
  </si>
  <si>
    <t>bank angle, deg</t>
  </si>
  <si>
    <t>load factor</t>
  </si>
  <si>
    <t>Lz = W/cos(phi)</t>
  </si>
  <si>
    <t>Weight</t>
  </si>
  <si>
    <t>Ltotal Req</t>
  </si>
  <si>
    <t>Vbest Range (ft/s)</t>
  </si>
  <si>
    <t>gravity (ft/s^2)</t>
  </si>
  <si>
    <t>Weight (lb)</t>
  </si>
  <si>
    <t>height</t>
  </si>
  <si>
    <t>Speed of Best Range</t>
  </si>
  <si>
    <t>descent rate (ft/s)</t>
  </si>
  <si>
    <t>descent rate (fpm)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</si>
</sst>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3" xfId="0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left" vertical="top"/>
    </xf>
    <xf numFmtId="0" fontId="0" fillId="4" borderId="3" xfId="0" applyFill="1" applyBorder="1"/>
    <xf numFmtId="0" fontId="0" fillId="5" borderId="0" xfId="0" applyFill="1"/>
    <xf numFmtId="0" fontId="0" fillId="2" borderId="1" xfId="0" applyFill="1" applyBorder="1" applyAlignment="1"/>
    <xf numFmtId="0" fontId="0" fillId="2" borderId="2" xfId="0" applyFill="1" applyBorder="1" applyAlignment="1"/>
    <xf numFmtId="2" fontId="0" fillId="0" borderId="0" xfId="0" applyNumberForma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Bank!$A$2:$A$317</c:f>
              <c:numCache>
                <c:formatCode>General</c:formatCode>
                <c:ptCount val="316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1020</c:v>
                </c:pt>
                <c:pt idx="51">
                  <c:v>1040</c:v>
                </c:pt>
                <c:pt idx="52">
                  <c:v>1060</c:v>
                </c:pt>
                <c:pt idx="53">
                  <c:v>1080</c:v>
                </c:pt>
                <c:pt idx="54">
                  <c:v>1100</c:v>
                </c:pt>
                <c:pt idx="55">
                  <c:v>1120</c:v>
                </c:pt>
                <c:pt idx="56">
                  <c:v>1140</c:v>
                </c:pt>
                <c:pt idx="57">
                  <c:v>1160</c:v>
                </c:pt>
                <c:pt idx="58">
                  <c:v>1180</c:v>
                </c:pt>
                <c:pt idx="59">
                  <c:v>1200</c:v>
                </c:pt>
                <c:pt idx="60">
                  <c:v>1220</c:v>
                </c:pt>
                <c:pt idx="61">
                  <c:v>1240</c:v>
                </c:pt>
                <c:pt idx="62">
                  <c:v>1260</c:v>
                </c:pt>
                <c:pt idx="63">
                  <c:v>1280</c:v>
                </c:pt>
                <c:pt idx="64">
                  <c:v>1300</c:v>
                </c:pt>
                <c:pt idx="65">
                  <c:v>1320</c:v>
                </c:pt>
                <c:pt idx="66">
                  <c:v>1340</c:v>
                </c:pt>
                <c:pt idx="67">
                  <c:v>1360</c:v>
                </c:pt>
                <c:pt idx="68">
                  <c:v>1380</c:v>
                </c:pt>
                <c:pt idx="69">
                  <c:v>1400</c:v>
                </c:pt>
                <c:pt idx="70">
                  <c:v>1420</c:v>
                </c:pt>
                <c:pt idx="71">
                  <c:v>1440</c:v>
                </c:pt>
                <c:pt idx="72">
                  <c:v>1460</c:v>
                </c:pt>
                <c:pt idx="73">
                  <c:v>1480</c:v>
                </c:pt>
                <c:pt idx="74">
                  <c:v>1500</c:v>
                </c:pt>
                <c:pt idx="75">
                  <c:v>1520</c:v>
                </c:pt>
                <c:pt idx="76">
                  <c:v>1540</c:v>
                </c:pt>
                <c:pt idx="77">
                  <c:v>1560</c:v>
                </c:pt>
                <c:pt idx="78">
                  <c:v>1580</c:v>
                </c:pt>
                <c:pt idx="79">
                  <c:v>1600</c:v>
                </c:pt>
                <c:pt idx="80">
                  <c:v>1620</c:v>
                </c:pt>
                <c:pt idx="81">
                  <c:v>1640</c:v>
                </c:pt>
                <c:pt idx="82">
                  <c:v>1660</c:v>
                </c:pt>
                <c:pt idx="83">
                  <c:v>1680</c:v>
                </c:pt>
                <c:pt idx="84">
                  <c:v>1700</c:v>
                </c:pt>
                <c:pt idx="85">
                  <c:v>1720</c:v>
                </c:pt>
                <c:pt idx="86">
                  <c:v>1740</c:v>
                </c:pt>
                <c:pt idx="87">
                  <c:v>1760</c:v>
                </c:pt>
                <c:pt idx="88">
                  <c:v>1780</c:v>
                </c:pt>
                <c:pt idx="89">
                  <c:v>1800</c:v>
                </c:pt>
                <c:pt idx="90">
                  <c:v>1820</c:v>
                </c:pt>
                <c:pt idx="91">
                  <c:v>1840</c:v>
                </c:pt>
                <c:pt idx="92">
                  <c:v>1860</c:v>
                </c:pt>
                <c:pt idx="93">
                  <c:v>1880</c:v>
                </c:pt>
                <c:pt idx="94">
                  <c:v>1900</c:v>
                </c:pt>
                <c:pt idx="95">
                  <c:v>1920</c:v>
                </c:pt>
                <c:pt idx="96">
                  <c:v>1940</c:v>
                </c:pt>
                <c:pt idx="97">
                  <c:v>1960</c:v>
                </c:pt>
                <c:pt idx="98">
                  <c:v>1980</c:v>
                </c:pt>
                <c:pt idx="99">
                  <c:v>2000</c:v>
                </c:pt>
                <c:pt idx="100">
                  <c:v>2020</c:v>
                </c:pt>
                <c:pt idx="101">
                  <c:v>2040</c:v>
                </c:pt>
                <c:pt idx="102">
                  <c:v>2060</c:v>
                </c:pt>
                <c:pt idx="103">
                  <c:v>2080</c:v>
                </c:pt>
                <c:pt idx="104">
                  <c:v>2100</c:v>
                </c:pt>
                <c:pt idx="105">
                  <c:v>2120</c:v>
                </c:pt>
                <c:pt idx="106">
                  <c:v>2140</c:v>
                </c:pt>
                <c:pt idx="107">
                  <c:v>2160</c:v>
                </c:pt>
                <c:pt idx="108">
                  <c:v>2180</c:v>
                </c:pt>
                <c:pt idx="109">
                  <c:v>2200</c:v>
                </c:pt>
                <c:pt idx="110">
                  <c:v>2220</c:v>
                </c:pt>
                <c:pt idx="111">
                  <c:v>2240</c:v>
                </c:pt>
                <c:pt idx="112">
                  <c:v>2260</c:v>
                </c:pt>
                <c:pt idx="113">
                  <c:v>2280</c:v>
                </c:pt>
                <c:pt idx="114">
                  <c:v>2300</c:v>
                </c:pt>
                <c:pt idx="115">
                  <c:v>2320</c:v>
                </c:pt>
                <c:pt idx="116">
                  <c:v>2340</c:v>
                </c:pt>
                <c:pt idx="117">
                  <c:v>2360</c:v>
                </c:pt>
                <c:pt idx="118">
                  <c:v>2380</c:v>
                </c:pt>
                <c:pt idx="119">
                  <c:v>2400</c:v>
                </c:pt>
                <c:pt idx="120">
                  <c:v>2420</c:v>
                </c:pt>
                <c:pt idx="121">
                  <c:v>2440</c:v>
                </c:pt>
                <c:pt idx="122">
                  <c:v>2460</c:v>
                </c:pt>
                <c:pt idx="123">
                  <c:v>2480</c:v>
                </c:pt>
                <c:pt idx="124">
                  <c:v>2500</c:v>
                </c:pt>
                <c:pt idx="125">
                  <c:v>2520</c:v>
                </c:pt>
                <c:pt idx="126">
                  <c:v>2540</c:v>
                </c:pt>
                <c:pt idx="127">
                  <c:v>2560</c:v>
                </c:pt>
                <c:pt idx="128">
                  <c:v>2580</c:v>
                </c:pt>
                <c:pt idx="129">
                  <c:v>2600</c:v>
                </c:pt>
                <c:pt idx="130">
                  <c:v>2620</c:v>
                </c:pt>
                <c:pt idx="131">
                  <c:v>2640</c:v>
                </c:pt>
                <c:pt idx="132">
                  <c:v>2660</c:v>
                </c:pt>
                <c:pt idx="133">
                  <c:v>2680</c:v>
                </c:pt>
                <c:pt idx="134">
                  <c:v>2700</c:v>
                </c:pt>
                <c:pt idx="135">
                  <c:v>2720</c:v>
                </c:pt>
                <c:pt idx="136">
                  <c:v>2740</c:v>
                </c:pt>
                <c:pt idx="137">
                  <c:v>2760</c:v>
                </c:pt>
                <c:pt idx="138">
                  <c:v>2780</c:v>
                </c:pt>
                <c:pt idx="139">
                  <c:v>2800</c:v>
                </c:pt>
                <c:pt idx="140">
                  <c:v>2820</c:v>
                </c:pt>
                <c:pt idx="141">
                  <c:v>2840</c:v>
                </c:pt>
                <c:pt idx="142">
                  <c:v>2860</c:v>
                </c:pt>
                <c:pt idx="143">
                  <c:v>2880</c:v>
                </c:pt>
                <c:pt idx="144">
                  <c:v>2900</c:v>
                </c:pt>
                <c:pt idx="145">
                  <c:v>2920</c:v>
                </c:pt>
                <c:pt idx="146">
                  <c:v>2940</c:v>
                </c:pt>
                <c:pt idx="147">
                  <c:v>2960</c:v>
                </c:pt>
                <c:pt idx="148">
                  <c:v>2980</c:v>
                </c:pt>
                <c:pt idx="149">
                  <c:v>3000</c:v>
                </c:pt>
                <c:pt idx="150">
                  <c:v>3020</c:v>
                </c:pt>
                <c:pt idx="151">
                  <c:v>3040</c:v>
                </c:pt>
                <c:pt idx="152">
                  <c:v>3060</c:v>
                </c:pt>
                <c:pt idx="153">
                  <c:v>3080</c:v>
                </c:pt>
                <c:pt idx="154">
                  <c:v>3100</c:v>
                </c:pt>
                <c:pt idx="155">
                  <c:v>3120</c:v>
                </c:pt>
                <c:pt idx="156">
                  <c:v>3140</c:v>
                </c:pt>
                <c:pt idx="157">
                  <c:v>3160</c:v>
                </c:pt>
                <c:pt idx="158">
                  <c:v>3180</c:v>
                </c:pt>
                <c:pt idx="159">
                  <c:v>3200</c:v>
                </c:pt>
                <c:pt idx="160">
                  <c:v>3220</c:v>
                </c:pt>
                <c:pt idx="161">
                  <c:v>3240</c:v>
                </c:pt>
                <c:pt idx="162">
                  <c:v>3260</c:v>
                </c:pt>
                <c:pt idx="163">
                  <c:v>3280</c:v>
                </c:pt>
                <c:pt idx="164">
                  <c:v>3300</c:v>
                </c:pt>
                <c:pt idx="165">
                  <c:v>3320</c:v>
                </c:pt>
                <c:pt idx="166">
                  <c:v>3340</c:v>
                </c:pt>
                <c:pt idx="167">
                  <c:v>3360</c:v>
                </c:pt>
                <c:pt idx="168">
                  <c:v>3380</c:v>
                </c:pt>
                <c:pt idx="169">
                  <c:v>3400</c:v>
                </c:pt>
                <c:pt idx="170">
                  <c:v>3420</c:v>
                </c:pt>
                <c:pt idx="171">
                  <c:v>3440</c:v>
                </c:pt>
                <c:pt idx="172">
                  <c:v>3460</c:v>
                </c:pt>
                <c:pt idx="173">
                  <c:v>3480</c:v>
                </c:pt>
                <c:pt idx="174">
                  <c:v>3500</c:v>
                </c:pt>
                <c:pt idx="175">
                  <c:v>3520</c:v>
                </c:pt>
                <c:pt idx="176">
                  <c:v>3540</c:v>
                </c:pt>
                <c:pt idx="177">
                  <c:v>3560</c:v>
                </c:pt>
                <c:pt idx="178">
                  <c:v>3580</c:v>
                </c:pt>
                <c:pt idx="179">
                  <c:v>3600</c:v>
                </c:pt>
                <c:pt idx="180">
                  <c:v>3620</c:v>
                </c:pt>
                <c:pt idx="181">
                  <c:v>3640</c:v>
                </c:pt>
                <c:pt idx="182">
                  <c:v>3660</c:v>
                </c:pt>
                <c:pt idx="183">
                  <c:v>3680</c:v>
                </c:pt>
                <c:pt idx="184">
                  <c:v>3700</c:v>
                </c:pt>
                <c:pt idx="185">
                  <c:v>3720</c:v>
                </c:pt>
                <c:pt idx="186">
                  <c:v>3740</c:v>
                </c:pt>
                <c:pt idx="187">
                  <c:v>3760</c:v>
                </c:pt>
                <c:pt idx="188">
                  <c:v>3780</c:v>
                </c:pt>
                <c:pt idx="189">
                  <c:v>3800</c:v>
                </c:pt>
                <c:pt idx="190">
                  <c:v>3820</c:v>
                </c:pt>
                <c:pt idx="191">
                  <c:v>3840</c:v>
                </c:pt>
                <c:pt idx="192">
                  <c:v>3860</c:v>
                </c:pt>
                <c:pt idx="193">
                  <c:v>3880</c:v>
                </c:pt>
                <c:pt idx="194">
                  <c:v>3900</c:v>
                </c:pt>
                <c:pt idx="195">
                  <c:v>3920</c:v>
                </c:pt>
                <c:pt idx="196">
                  <c:v>3940</c:v>
                </c:pt>
                <c:pt idx="197">
                  <c:v>3960</c:v>
                </c:pt>
                <c:pt idx="198">
                  <c:v>3980</c:v>
                </c:pt>
                <c:pt idx="199">
                  <c:v>4000</c:v>
                </c:pt>
                <c:pt idx="200">
                  <c:v>4020</c:v>
                </c:pt>
                <c:pt idx="201">
                  <c:v>4040</c:v>
                </c:pt>
                <c:pt idx="202">
                  <c:v>4060</c:v>
                </c:pt>
                <c:pt idx="203">
                  <c:v>4080</c:v>
                </c:pt>
                <c:pt idx="204">
                  <c:v>4100</c:v>
                </c:pt>
                <c:pt idx="205">
                  <c:v>4120</c:v>
                </c:pt>
                <c:pt idx="206">
                  <c:v>4140</c:v>
                </c:pt>
                <c:pt idx="207">
                  <c:v>4160</c:v>
                </c:pt>
                <c:pt idx="208">
                  <c:v>4180</c:v>
                </c:pt>
                <c:pt idx="209">
                  <c:v>4200</c:v>
                </c:pt>
                <c:pt idx="210">
                  <c:v>4220</c:v>
                </c:pt>
                <c:pt idx="211">
                  <c:v>4240</c:v>
                </c:pt>
                <c:pt idx="212">
                  <c:v>4260</c:v>
                </c:pt>
                <c:pt idx="213">
                  <c:v>4280</c:v>
                </c:pt>
                <c:pt idx="214">
                  <c:v>4300</c:v>
                </c:pt>
                <c:pt idx="215">
                  <c:v>4320</c:v>
                </c:pt>
                <c:pt idx="216">
                  <c:v>4340</c:v>
                </c:pt>
                <c:pt idx="217">
                  <c:v>4360</c:v>
                </c:pt>
                <c:pt idx="218">
                  <c:v>4380</c:v>
                </c:pt>
                <c:pt idx="219">
                  <c:v>4400</c:v>
                </c:pt>
                <c:pt idx="220">
                  <c:v>4420</c:v>
                </c:pt>
                <c:pt idx="221">
                  <c:v>4440</c:v>
                </c:pt>
                <c:pt idx="222">
                  <c:v>4460</c:v>
                </c:pt>
                <c:pt idx="223">
                  <c:v>4480</c:v>
                </c:pt>
                <c:pt idx="224">
                  <c:v>4500</c:v>
                </c:pt>
                <c:pt idx="225">
                  <c:v>4520</c:v>
                </c:pt>
                <c:pt idx="226">
                  <c:v>4540</c:v>
                </c:pt>
                <c:pt idx="227">
                  <c:v>4560</c:v>
                </c:pt>
                <c:pt idx="228">
                  <c:v>4580</c:v>
                </c:pt>
                <c:pt idx="229">
                  <c:v>4600</c:v>
                </c:pt>
                <c:pt idx="230">
                  <c:v>4620</c:v>
                </c:pt>
                <c:pt idx="231">
                  <c:v>4640</c:v>
                </c:pt>
                <c:pt idx="232">
                  <c:v>4660</c:v>
                </c:pt>
                <c:pt idx="233">
                  <c:v>4680</c:v>
                </c:pt>
                <c:pt idx="234">
                  <c:v>4700</c:v>
                </c:pt>
                <c:pt idx="235">
                  <c:v>4720</c:v>
                </c:pt>
                <c:pt idx="236">
                  <c:v>4740</c:v>
                </c:pt>
                <c:pt idx="237">
                  <c:v>4760</c:v>
                </c:pt>
                <c:pt idx="238">
                  <c:v>4780</c:v>
                </c:pt>
                <c:pt idx="239">
                  <c:v>4800</c:v>
                </c:pt>
                <c:pt idx="240">
                  <c:v>4820</c:v>
                </c:pt>
                <c:pt idx="241">
                  <c:v>4840</c:v>
                </c:pt>
                <c:pt idx="242">
                  <c:v>4860</c:v>
                </c:pt>
                <c:pt idx="243">
                  <c:v>4880</c:v>
                </c:pt>
                <c:pt idx="244">
                  <c:v>4900</c:v>
                </c:pt>
                <c:pt idx="245">
                  <c:v>4920</c:v>
                </c:pt>
                <c:pt idx="246">
                  <c:v>4940</c:v>
                </c:pt>
                <c:pt idx="247">
                  <c:v>4960</c:v>
                </c:pt>
                <c:pt idx="248">
                  <c:v>4980</c:v>
                </c:pt>
                <c:pt idx="249">
                  <c:v>5000</c:v>
                </c:pt>
                <c:pt idx="250">
                  <c:v>5020</c:v>
                </c:pt>
                <c:pt idx="251">
                  <c:v>5040</c:v>
                </c:pt>
                <c:pt idx="252">
                  <c:v>5060</c:v>
                </c:pt>
                <c:pt idx="253">
                  <c:v>5080</c:v>
                </c:pt>
                <c:pt idx="254">
                  <c:v>5100</c:v>
                </c:pt>
                <c:pt idx="255">
                  <c:v>5120</c:v>
                </c:pt>
                <c:pt idx="256">
                  <c:v>5140</c:v>
                </c:pt>
                <c:pt idx="257">
                  <c:v>5160</c:v>
                </c:pt>
                <c:pt idx="258">
                  <c:v>5180</c:v>
                </c:pt>
                <c:pt idx="259">
                  <c:v>5200</c:v>
                </c:pt>
                <c:pt idx="260">
                  <c:v>5220</c:v>
                </c:pt>
                <c:pt idx="261">
                  <c:v>5240</c:v>
                </c:pt>
                <c:pt idx="262">
                  <c:v>5260</c:v>
                </c:pt>
                <c:pt idx="263">
                  <c:v>5280</c:v>
                </c:pt>
                <c:pt idx="264">
                  <c:v>5300</c:v>
                </c:pt>
                <c:pt idx="265">
                  <c:v>5320</c:v>
                </c:pt>
                <c:pt idx="266">
                  <c:v>5340</c:v>
                </c:pt>
                <c:pt idx="267">
                  <c:v>5360</c:v>
                </c:pt>
                <c:pt idx="268">
                  <c:v>5380</c:v>
                </c:pt>
                <c:pt idx="269">
                  <c:v>5400</c:v>
                </c:pt>
                <c:pt idx="270">
                  <c:v>5420</c:v>
                </c:pt>
                <c:pt idx="271">
                  <c:v>5440</c:v>
                </c:pt>
                <c:pt idx="272">
                  <c:v>5460</c:v>
                </c:pt>
                <c:pt idx="273">
                  <c:v>5480</c:v>
                </c:pt>
                <c:pt idx="274">
                  <c:v>5500</c:v>
                </c:pt>
                <c:pt idx="275">
                  <c:v>5520</c:v>
                </c:pt>
                <c:pt idx="276">
                  <c:v>5540</c:v>
                </c:pt>
                <c:pt idx="277">
                  <c:v>5560</c:v>
                </c:pt>
                <c:pt idx="278">
                  <c:v>5580</c:v>
                </c:pt>
                <c:pt idx="279">
                  <c:v>5600</c:v>
                </c:pt>
                <c:pt idx="280">
                  <c:v>5620</c:v>
                </c:pt>
                <c:pt idx="281">
                  <c:v>5640</c:v>
                </c:pt>
                <c:pt idx="282">
                  <c:v>5660</c:v>
                </c:pt>
                <c:pt idx="283">
                  <c:v>5680</c:v>
                </c:pt>
                <c:pt idx="284">
                  <c:v>5700</c:v>
                </c:pt>
                <c:pt idx="285">
                  <c:v>5720</c:v>
                </c:pt>
                <c:pt idx="286">
                  <c:v>5740</c:v>
                </c:pt>
                <c:pt idx="287">
                  <c:v>5760</c:v>
                </c:pt>
                <c:pt idx="288">
                  <c:v>5780</c:v>
                </c:pt>
                <c:pt idx="289">
                  <c:v>5800</c:v>
                </c:pt>
                <c:pt idx="290">
                  <c:v>5820</c:v>
                </c:pt>
                <c:pt idx="291">
                  <c:v>5840</c:v>
                </c:pt>
                <c:pt idx="292">
                  <c:v>5860</c:v>
                </c:pt>
                <c:pt idx="293">
                  <c:v>5880</c:v>
                </c:pt>
                <c:pt idx="294">
                  <c:v>5900</c:v>
                </c:pt>
                <c:pt idx="295">
                  <c:v>5920</c:v>
                </c:pt>
                <c:pt idx="296">
                  <c:v>5940</c:v>
                </c:pt>
                <c:pt idx="297">
                  <c:v>5960</c:v>
                </c:pt>
                <c:pt idx="298">
                  <c:v>5980</c:v>
                </c:pt>
                <c:pt idx="299">
                  <c:v>6000</c:v>
                </c:pt>
                <c:pt idx="300">
                  <c:v>6020</c:v>
                </c:pt>
                <c:pt idx="301">
                  <c:v>6040</c:v>
                </c:pt>
                <c:pt idx="302">
                  <c:v>6060</c:v>
                </c:pt>
                <c:pt idx="303">
                  <c:v>6080</c:v>
                </c:pt>
                <c:pt idx="304">
                  <c:v>6100</c:v>
                </c:pt>
                <c:pt idx="305">
                  <c:v>6120</c:v>
                </c:pt>
                <c:pt idx="306">
                  <c:v>6140</c:v>
                </c:pt>
                <c:pt idx="307">
                  <c:v>6160</c:v>
                </c:pt>
                <c:pt idx="308">
                  <c:v>6180</c:v>
                </c:pt>
                <c:pt idx="309">
                  <c:v>6200</c:v>
                </c:pt>
                <c:pt idx="310">
                  <c:v>6220</c:v>
                </c:pt>
                <c:pt idx="311">
                  <c:v>6240</c:v>
                </c:pt>
                <c:pt idx="312">
                  <c:v>6260</c:v>
                </c:pt>
                <c:pt idx="313">
                  <c:v>6280</c:v>
                </c:pt>
                <c:pt idx="314">
                  <c:v>6300</c:v>
                </c:pt>
                <c:pt idx="315">
                  <c:v>6320</c:v>
                </c:pt>
              </c:numCache>
            </c:numRef>
          </c:xVal>
          <c:yVal>
            <c:numRef>
              <c:f>Bank!$G$2:$G$317</c:f>
              <c:numCache>
                <c:formatCode>General</c:formatCode>
                <c:ptCount val="316"/>
                <c:pt idx="0">
                  <c:v>31.53589728664409</c:v>
                </c:pt>
                <c:pt idx="1">
                  <c:v>15.78289989863957</c:v>
                </c:pt>
                <c:pt idx="2">
                  <c:v>10.538524821861015</c:v>
                </c:pt>
                <c:pt idx="3">
                  <c:v>7.9212819098083456</c:v>
                </c:pt>
                <c:pt idx="4">
                  <c:v>6.3548658869214911</c:v>
                </c:pt>
                <c:pt idx="5">
                  <c:v>5.31383582238694</c:v>
                </c:pt>
                <c:pt idx="6">
                  <c:v>4.5729979546404955</c:v>
                </c:pt>
                <c:pt idx="7">
                  <c:v>4.019751430835214</c:v>
                </c:pt>
                <c:pt idx="8">
                  <c:v>3.591536912366931</c:v>
                </c:pt>
                <c:pt idx="9">
                  <c:v>3.2508160363556589</c:v>
                </c:pt>
                <c:pt idx="10">
                  <c:v>2.9736984574264635</c:v>
                </c:pt>
                <c:pt idx="11">
                  <c:v>2.7442553778499192</c:v>
                </c:pt>
                <c:pt idx="12">
                  <c:v>2.5514576076451756</c:v>
                </c:pt>
                <c:pt idx="13">
                  <c:v>2.3874258868756661</c:v>
                </c:pt>
                <c:pt idx="14">
                  <c:v>2.2463810786790508</c:v>
                </c:pt>
                <c:pt idx="15">
                  <c:v>2.1239880375046734</c:v>
                </c:pt>
                <c:pt idx="16">
                  <c:v>2.0169310492665309</c:v>
                </c:pt>
                <c:pt idx="17">
                  <c:v>1.9226307862564422</c:v>
                </c:pt>
                <c:pt idx="18">
                  <c:v>1.8390506386902319</c:v>
                </c:pt>
                <c:pt idx="19">
                  <c:v>1.7645611402256083</c:v>
                </c:pt>
                <c:pt idx="20">
                  <c:v>1.6978431221933383</c:v>
                </c:pt>
                <c:pt idx="21">
                  <c:v>1.6378172733741241</c:v>
                </c:pt>
                <c:pt idx="22">
                  <c:v>1.583592068629549</c:v>
                </c:pt>
                <c:pt idx="23">
                  <c:v>1.534424708727042</c:v>
                </c:pt>
                <c:pt idx="24">
                  <c:v>1.4896914282623637</c:v>
                </c:pt>
                <c:pt idx="25">
                  <c:v>1.4488646496274691</c:v>
                </c:pt>
                <c:pt idx="26">
                  <c:v>1.4114952083187469</c:v>
                </c:pt>
                <c:pt idx="27">
                  <c:v>1.3771983819945961</c:v>
                </c:pt>
                <c:pt idx="28">
                  <c:v>1.3456428054120348</c:v>
                </c:pt>
                <c:pt idx="29">
                  <c:v>1.3165415981651822</c:v>
                </c:pt>
                <c:pt idx="30">
                  <c:v>1.2896452058628287</c:v>
                </c:pt>
                <c:pt idx="31">
                  <c:v>1.2647355802314004</c:v>
                </c:pt>
                <c:pt idx="32">
                  <c:v>1.2416214144222593</c:v>
                </c:pt>
                <c:pt idx="33">
                  <c:v>1.220134216556263</c:v>
                </c:pt>
                <c:pt idx="34">
                  <c:v>1.2001250541230566</c:v>
                </c:pt>
                <c:pt idx="35">
                  <c:v>1.1814618390378864</c:v>
                </c:pt>
                <c:pt idx="36">
                  <c:v>1.1640270512967541</c:v>
                </c:pt>
                <c:pt idx="37">
                  <c:v>1.1477158206430091</c:v>
                </c:pt>
                <c:pt idx="38">
                  <c:v>1.1324343021747101</c:v>
                </c:pt>
                <c:pt idx="39">
                  <c:v>1.1180982946217626</c:v>
                </c:pt>
                <c:pt idx="40">
                  <c:v>1.104632060011763</c:v>
                </c:pt>
                <c:pt idx="41">
                  <c:v>1.0919673112929362</c:v>
                </c:pt>
                <c:pt idx="42">
                  <c:v>1.0800423406895219</c:v>
                </c:pt>
                <c:pt idx="43">
                  <c:v>1.0688012665028894</c:v>
                </c:pt>
                <c:pt idx="44">
                  <c:v>1.0581933800226644</c:v>
                </c:pt>
                <c:pt idx="45">
                  <c:v>1.0481725773908235</c:v>
                </c:pt>
                <c:pt idx="46">
                  <c:v>1.0386968638324476</c:v>
                </c:pt>
                <c:pt idx="47">
                  <c:v>1.0297279197562506</c:v>
                </c:pt>
                <c:pt idx="48">
                  <c:v>1.0212307199343844</c:v>
                </c:pt>
                <c:pt idx="49">
                  <c:v>1.0131731983708949</c:v>
                </c:pt>
                <c:pt idx="50">
                  <c:v>1.0055259526217142</c:v>
                </c:pt>
                <c:pt idx="51">
                  <c:v>0.99826198228348373</c:v>
                </c:pt>
                <c:pt idx="52">
                  <c:v>0.99135645716142529</c:v>
                </c:pt>
                <c:pt idx="53">
                  <c:v>0.98478651128770767</c:v>
                </c:pt>
                <c:pt idx="54">
                  <c:v>0.97853105951525354</c:v>
                </c:pt>
                <c:pt idx="55">
                  <c:v>0.97257063387686737</c:v>
                </c:pt>
                <c:pt idx="56">
                  <c:v>0.96688723729144876</c:v>
                </c:pt>
                <c:pt idx="57">
                  <c:v>0.96146421253045666</c:v>
                </c:pt>
                <c:pt idx="58">
                  <c:v>0.95628612463891605</c:v>
                </c:pt>
                <c:pt idx="59">
                  <c:v>0.95133865524446737</c:v>
                </c:pt>
                <c:pt idx="60">
                  <c:v>0.94660850739209645</c:v>
                </c:pt>
                <c:pt idx="61">
                  <c:v>0.94208331971687265</c:v>
                </c:pt>
                <c:pt idx="62">
                  <c:v>0.93775158891693278</c:v>
                </c:pt>
                <c:pt idx="63">
                  <c:v>0.93360259961791725</c:v>
                </c:pt>
                <c:pt idx="64">
                  <c:v>0.92962636083129735</c:v>
                </c:pt>
                <c:pt idx="65">
                  <c:v>0.92581354830521967</c:v>
                </c:pt>
                <c:pt idx="66">
                  <c:v>0.92215545214983463</c:v>
                </c:pt>
                <c:pt idx="67">
                  <c:v>0.91864392919147941</c:v>
                </c:pt>
                <c:pt idx="68">
                  <c:v>0.91527135957310979</c:v>
                </c:pt>
                <c:pt idx="69">
                  <c:v>0.91203060717334794</c:v>
                </c:pt>
                <c:pt idx="70">
                  <c:v>0.908914983464577</c:v>
                </c:pt>
                <c:pt idx="71">
                  <c:v>0.90591821447259491</c:v>
                </c:pt>
                <c:pt idx="72">
                  <c:v>0.90303441053728883</c:v>
                </c:pt>
                <c:pt idx="73">
                  <c:v>0.9002580386062502</c:v>
                </c:pt>
                <c:pt idx="74">
                  <c:v>0.89758389682185913</c:v>
                </c:pt>
                <c:pt idx="75">
                  <c:v>0.89500709118759647</c:v>
                </c:pt>
                <c:pt idx="76">
                  <c:v>0.8925230141216357</c:v>
                </c:pt>
                <c:pt idx="77">
                  <c:v>0.89012732472551326</c:v>
                </c:pt>
                <c:pt idx="78">
                  <c:v>0.88781593061316644</c:v>
                </c:pt>
                <c:pt idx="79">
                  <c:v>0.88558497116117663</c:v>
                </c:pt>
                <c:pt idx="80">
                  <c:v>0.88343080205486046</c:v>
                </c:pt>
                <c:pt idx="81">
                  <c:v>0.88134998101717588</c:v>
                </c:pt>
                <c:pt idx="82">
                  <c:v>0.87933925461836304</c:v>
                </c:pt>
                <c:pt idx="83">
                  <c:v>0.87739554607406089</c:v>
                </c:pt>
                <c:pt idx="84">
                  <c:v>0.87551594394838939</c:v>
                </c:pt>
                <c:pt idx="85">
                  <c:v>0.87369769168634293</c:v>
                </c:pt>
                <c:pt idx="86">
                  <c:v>0.871938177906874</c:v>
                </c:pt>
                <c:pt idx="87">
                  <c:v>0.87023492739435804</c:v>
                </c:pt>
                <c:pt idx="88">
                  <c:v>0.86858559273180991</c:v>
                </c:pt>
                <c:pt idx="89">
                  <c:v>0.8669879465243252</c:v>
                </c:pt>
                <c:pt idx="90">
                  <c:v>0.86543987416582302</c:v>
                </c:pt>
                <c:pt idx="91">
                  <c:v>0.86393936710630848</c:v>
                </c:pt>
                <c:pt idx="92">
                  <c:v>0.86248451658062564</c:v>
                </c:pt>
                <c:pt idx="93">
                  <c:v>0.86107350776304747</c:v>
                </c:pt>
                <c:pt idx="94">
                  <c:v>0.85970461431511558</c:v>
                </c:pt>
                <c:pt idx="95">
                  <c:v>0.85837619329691484</c:v>
                </c:pt>
                <c:pt idx="96">
                  <c:v>0.85708668041447478</c:v>
                </c:pt>
                <c:pt idx="97">
                  <c:v>0.85583458557827852</c:v>
                </c:pt>
                <c:pt idx="98">
                  <c:v>0.85461848874992141</c:v>
                </c:pt>
                <c:pt idx="99">
                  <c:v>0.85343703605585086</c:v>
                </c:pt>
                <c:pt idx="100">
                  <c:v>0.85228893614882684</c:v>
                </c:pt>
                <c:pt idx="101">
                  <c:v>0.85117295679930405</c:v>
                </c:pt>
                <c:pt idx="102">
                  <c:v>0.85008792170035763</c:v>
                </c:pt>
                <c:pt idx="103">
                  <c:v>0.84903270747107029</c:v>
                </c:pt>
                <c:pt idx="104">
                  <c:v>0.84800624084448373</c:v>
                </c:pt>
                <c:pt idx="105">
                  <c:v>0.84700749602729719</c:v>
                </c:pt>
                <c:pt idx="106">
                  <c:v>0.84603549221948637</c:v>
                </c:pt>
                <c:pt idx="107">
                  <c:v>0.84508929128292232</c:v>
                </c:pt>
                <c:pt idx="108">
                  <c:v>0.84416799554889288</c:v>
                </c:pt>
                <c:pt idx="109">
                  <c:v>0.843270745755199</c:v>
                </c:pt>
                <c:pt idx="110">
                  <c:v>0.84239671910418645</c:v>
                </c:pt>
                <c:pt idx="111">
                  <c:v>0.84154512743371723</c:v>
                </c:pt>
                <c:pt idx="112">
                  <c:v>0.84071521549367212</c:v>
                </c:pt>
                <c:pt idx="113">
                  <c:v>0.83990625932111684</c:v>
                </c:pt>
                <c:pt idx="114">
                  <c:v>0.83911756470775911</c:v>
                </c:pt>
                <c:pt idx="115">
                  <c:v>0.83834846575378263</c:v>
                </c:pt>
                <c:pt idx="116">
                  <c:v>0.83759832350256624</c:v>
                </c:pt>
                <c:pt idx="117">
                  <c:v>0.83686652465118216</c:v>
                </c:pt>
                <c:pt idx="118">
                  <c:v>0.83615248033192857</c:v>
                </c:pt>
                <c:pt idx="119">
                  <c:v>0.83545562496047998</c:v>
                </c:pt>
                <c:pt idx="120">
                  <c:v>0.83477541514654496</c:v>
                </c:pt>
                <c:pt idx="121">
                  <c:v>0.83411132866320159</c:v>
                </c:pt>
                <c:pt idx="122">
                  <c:v>0.83346286347134557</c:v>
                </c:pt>
                <c:pt idx="123">
                  <c:v>0.83282953679592142</c:v>
                </c:pt>
                <c:pt idx="124">
                  <c:v>0.83221088425083589</c:v>
                </c:pt>
                <c:pt idx="125">
                  <c:v>0.83160645900965469</c:v>
                </c:pt>
                <c:pt idx="126">
                  <c:v>0.83101583101938159</c:v>
                </c:pt>
                <c:pt idx="127">
                  <c:v>0.83043858625478839</c:v>
                </c:pt>
                <c:pt idx="128">
                  <c:v>0.82987432601093714</c:v>
                </c:pt>
                <c:pt idx="129">
                  <c:v>0.82932266623168371</c:v>
                </c:pt>
                <c:pt idx="130">
                  <c:v>0.82878323687209676</c:v>
                </c:pt>
                <c:pt idx="131">
                  <c:v>0.82825568129285632</c:v>
                </c:pt>
                <c:pt idx="132">
                  <c:v>0.82773965568482166</c:v>
                </c:pt>
                <c:pt idx="133">
                  <c:v>0.82723482852206787</c:v>
                </c:pt>
                <c:pt idx="134">
                  <c:v>0.82674088004180313</c:v>
                </c:pt>
                <c:pt idx="135">
                  <c:v>0.8262575017496715</c:v>
                </c:pt>
                <c:pt idx="136">
                  <c:v>0.82578439594904296</c:v>
                </c:pt>
                <c:pt idx="137">
                  <c:v>0.82532127529297372</c:v>
                </c:pt>
                <c:pt idx="138">
                  <c:v>0.8248678623576069</c:v>
                </c:pt>
                <c:pt idx="139">
                  <c:v>0.82442388923584997</c:v>
                </c:pt>
                <c:pt idx="140">
                  <c:v>0.82398909715024116</c:v>
                </c:pt>
                <c:pt idx="141">
                  <c:v>0.82356323608398252</c:v>
                </c:pt>
                <c:pt idx="142">
                  <c:v>0.82314606442917193</c:v>
                </c:pt>
                <c:pt idx="143">
                  <c:v>0.82273734865133108</c:v>
                </c:pt>
                <c:pt idx="144">
                  <c:v>0.82233686296937369</c:v>
                </c:pt>
                <c:pt idx="145">
                  <c:v>0.82194438905021161</c:v>
                </c:pt>
                <c:pt idx="146">
                  <c:v>0.8215597157172424</c:v>
                </c:pt>
                <c:pt idx="147">
                  <c:v>0.82118263867200181</c:v>
                </c:pt>
                <c:pt idx="148">
                  <c:v>0.8208129602283134</c:v>
                </c:pt>
                <c:pt idx="149">
                  <c:v>0.82045048905829598</c:v>
                </c:pt>
                <c:pt idx="150">
                  <c:v>0.82009503994963295</c:v>
                </c:pt>
                <c:pt idx="151">
                  <c:v>0.81974643357354049</c:v>
                </c:pt>
                <c:pt idx="152">
                  <c:v>0.81940449626289713</c:v>
                </c:pt>
                <c:pt idx="153">
                  <c:v>0.81906905980003353</c:v>
                </c:pt>
                <c:pt idx="154">
                  <c:v>0.81873996121370718</c:v>
                </c:pt>
                <c:pt idx="155">
                  <c:v>0.81841704258481085</c:v>
                </c:pt>
                <c:pt idx="156">
                  <c:v>0.81810015086039023</c:v>
                </c:pt>
                <c:pt idx="157">
                  <c:v>0.81778913767556805</c:v>
                </c:pt>
                <c:pt idx="158">
                  <c:v>0.81748385918299571</c:v>
                </c:pt>
                <c:pt idx="159">
                  <c:v>0.81718417588947101</c:v>
                </c:pt>
                <c:pt idx="160">
                  <c:v>0.8168899524993809</c:v>
                </c:pt>
                <c:pt idx="161">
                  <c:v>0.81660105776464798</c:v>
                </c:pt>
                <c:pt idx="162">
                  <c:v>0.8163173643408741</c:v>
                </c:pt>
                <c:pt idx="163">
                  <c:v>0.81603874864939008</c:v>
                </c:pt>
                <c:pt idx="164">
                  <c:v>0.81576509074494041</c:v>
                </c:pt>
                <c:pt idx="165">
                  <c:v>0.81549627418873771</c:v>
                </c:pt>
                <c:pt idx="166">
                  <c:v>0.81523218592664481</c:v>
                </c:pt>
                <c:pt idx="167">
                  <c:v>0.81497271617224609</c:v>
                </c:pt>
                <c:pt idx="168">
                  <c:v>0.81471775829458859</c:v>
                </c:pt>
                <c:pt idx="169">
                  <c:v>0.81446720871038036</c:v>
                </c:pt>
                <c:pt idx="170">
                  <c:v>0.81422096678044575</c:v>
                </c:pt>
                <c:pt idx="171">
                  <c:v>0.81397893471024763</c:v>
                </c:pt>
                <c:pt idx="172">
                  <c:v>0.8137410174542945</c:v>
                </c:pt>
                <c:pt idx="173">
                  <c:v>0.81350712262426339</c:v>
                </c:pt>
                <c:pt idx="174">
                  <c:v>0.81327716040067088</c:v>
                </c:pt>
                <c:pt idx="175">
                  <c:v>0.81305104344794021</c:v>
                </c:pt>
                <c:pt idx="176">
                  <c:v>0.81282868683271614</c:v>
                </c:pt>
                <c:pt idx="177">
                  <c:v>0.81261000794528493</c:v>
                </c:pt>
                <c:pt idx="178">
                  <c:v>0.81239492642396716</c:v>
                </c:pt>
                <c:pt idx="179">
                  <c:v>0.81218336408235736</c:v>
                </c:pt>
                <c:pt idx="180">
                  <c:v>0.81197524483928529</c:v>
                </c:pt>
                <c:pt idx="181">
                  <c:v>0.81177049465138684</c:v>
                </c:pt>
                <c:pt idx="182">
                  <c:v>0.81156904144817299</c:v>
                </c:pt>
                <c:pt idx="183">
                  <c:v>0.81137081506949127</c:v>
                </c:pt>
                <c:pt idx="184">
                  <c:v>0.8111757472052824</c:v>
                </c:pt>
                <c:pt idx="185">
                  <c:v>0.81098377133753274</c:v>
                </c:pt>
                <c:pt idx="186">
                  <c:v>0.81079482268433478</c:v>
                </c:pt>
                <c:pt idx="187">
                  <c:v>0.81060883814596929</c:v>
                </c:pt>
                <c:pt idx="188">
                  <c:v>0.81042575625292279</c:v>
                </c:pt>
                <c:pt idx="189">
                  <c:v>0.81024551711576531</c:v>
                </c:pt>
                <c:pt idx="190">
                  <c:v>0.81006806237681139</c:v>
                </c:pt>
                <c:pt idx="191">
                  <c:v>0.80989333516349182</c:v>
                </c:pt>
                <c:pt idx="192">
                  <c:v>0.80972128004336907</c:v>
                </c:pt>
                <c:pt idx="193">
                  <c:v>0.80955184298072869</c:v>
                </c:pt>
                <c:pt idx="194">
                  <c:v>0.80938497129468656</c:v>
                </c:pt>
                <c:pt idx="195">
                  <c:v>0.80922061361874886</c:v>
                </c:pt>
                <c:pt idx="196">
                  <c:v>0.8090587198617708</c:v>
                </c:pt>
                <c:pt idx="197">
                  <c:v>0.80889924117025735</c:v>
                </c:pt>
                <c:pt idx="198">
                  <c:v>0.80874212989195371</c:v>
                </c:pt>
                <c:pt idx="199">
                  <c:v>0.80858733954067541</c:v>
                </c:pt>
                <c:pt idx="200">
                  <c:v>0.80843482476233253</c:v>
                </c:pt>
                <c:pt idx="201">
                  <c:v>0.80828454130209815</c:v>
                </c:pt>
                <c:pt idx="202">
                  <c:v>0.80813644597267986</c:v>
                </c:pt>
                <c:pt idx="203">
                  <c:v>0.80799049662365208</c:v>
                </c:pt>
                <c:pt idx="204">
                  <c:v>0.80784665211180817</c:v>
                </c:pt>
                <c:pt idx="205">
                  <c:v>0.80770487227249466</c:v>
                </c:pt>
                <c:pt idx="206">
                  <c:v>0.80756511789188956</c:v>
                </c:pt>
                <c:pt idx="207">
                  <c:v>0.80742735068019122</c:v>
                </c:pt>
                <c:pt idx="208">
                  <c:v>0.80729153324568226</c:v>
                </c:pt>
                <c:pt idx="209">
                  <c:v>0.8071576290696364</c:v>
                </c:pt>
                <c:pt idx="210">
                  <c:v>0.80702560248203759</c:v>
                </c:pt>
                <c:pt idx="211">
                  <c:v>0.80689541863808245</c:v>
                </c:pt>
                <c:pt idx="212">
                  <c:v>0.80676704349543438</c:v>
                </c:pt>
                <c:pt idx="213">
                  <c:v>0.80664044379220512</c:v>
                </c:pt>
                <c:pt idx="214">
                  <c:v>0.80651558702563697</c:v>
                </c:pt>
                <c:pt idx="215">
                  <c:v>0.80639244143145739</c:v>
                </c:pt>
                <c:pt idx="216">
                  <c:v>0.80627097596388664</c:v>
                </c:pt>
                <c:pt idx="217">
                  <c:v>0.80615116027627054</c:v>
                </c:pt>
                <c:pt idx="218">
                  <c:v>0.80603296470231933</c:v>
                </c:pt>
                <c:pt idx="219">
                  <c:v>0.80591636023792868</c:v>
                </c:pt>
                <c:pt idx="220">
                  <c:v>0.8058013185235654</c:v>
                </c:pt>
                <c:pt idx="221">
                  <c:v>0.80568781182719462</c:v>
                </c:pt>
                <c:pt idx="222">
                  <c:v>0.80557581302773051</c:v>
                </c:pt>
                <c:pt idx="223">
                  <c:v>0.80546529559899482</c:v>
                </c:pt>
                <c:pt idx="224">
                  <c:v>0.80535623359416253</c:v>
                </c:pt>
                <c:pt idx="225">
                  <c:v>0.80524860163067735</c:v>
                </c:pt>
                <c:pt idx="226">
                  <c:v>0.80514237487562523</c:v>
                </c:pt>
                <c:pt idx="227">
                  <c:v>0.80503752903154535</c:v>
                </c:pt>
                <c:pt idx="228">
                  <c:v>0.80493404032266602</c:v>
                </c:pt>
                <c:pt idx="229">
                  <c:v>0.80483188548155093</c:v>
                </c:pt>
                <c:pt idx="230">
                  <c:v>0.80473104173614241</c:v>
                </c:pt>
                <c:pt idx="231">
                  <c:v>0.80463148679718521</c:v>
                </c:pt>
                <c:pt idx="232">
                  <c:v>0.80453319884602303</c:v>
                </c:pt>
                <c:pt idx="233">
                  <c:v>0.80443615652275102</c:v>
                </c:pt>
                <c:pt idx="234">
                  <c:v>0.80434033891471468</c:v>
                </c:pt>
                <c:pt idx="235">
                  <c:v>0.80424572554534313</c:v>
                </c:pt>
                <c:pt idx="236">
                  <c:v>0.80415229636330465</c:v>
                </c:pt>
                <c:pt idx="237">
                  <c:v>0.80406003173197682</c:v>
                </c:pt>
                <c:pt idx="238">
                  <c:v>0.80396891241921642</c:v>
                </c:pt>
                <c:pt idx="239">
                  <c:v>0.80387891958742463</c:v>
                </c:pt>
                <c:pt idx="240">
                  <c:v>0.80379003478389321</c:v>
                </c:pt>
                <c:pt idx="241">
                  <c:v>0.80370223993142509</c:v>
                </c:pt>
                <c:pt idx="242">
                  <c:v>0.80361551731922132</c:v>
                </c:pt>
                <c:pt idx="243">
                  <c:v>0.80352984959402185</c:v>
                </c:pt>
                <c:pt idx="244">
                  <c:v>0.80344521975149719</c:v>
                </c:pt>
                <c:pt idx="245">
                  <c:v>0.80336161112787952</c:v>
                </c:pt>
                <c:pt idx="246">
                  <c:v>0.80327900739182578</c:v>
                </c:pt>
                <c:pt idx="247">
                  <c:v>0.80319739253650835</c:v>
                </c:pt>
                <c:pt idx="248">
                  <c:v>0.80311675087192114</c:v>
                </c:pt>
                <c:pt idx="249">
                  <c:v>0.80303706701739985</c:v>
                </c:pt>
                <c:pt idx="250">
                  <c:v>0.8029583258943459</c:v>
                </c:pt>
                <c:pt idx="251">
                  <c:v>0.8028805127191484</c:v>
                </c:pt>
                <c:pt idx="252">
                  <c:v>0.80280361299629943</c:v>
                </c:pt>
                <c:pt idx="253">
                  <c:v>0.80272761251169555</c:v>
                </c:pt>
                <c:pt idx="254">
                  <c:v>0.80265249732611921</c:v>
                </c:pt>
                <c:pt idx="255">
                  <c:v>0.80257825376889658</c:v>
                </c:pt>
                <c:pt idx="256">
                  <c:v>0.80250486843172375</c:v>
                </c:pt>
                <c:pt idx="257">
                  <c:v>0.80243232816265908</c:v>
                </c:pt>
                <c:pt idx="258">
                  <c:v>0.80236062006027309</c:v>
                </c:pt>
                <c:pt idx="259">
                  <c:v>0.80228973146795646</c:v>
                </c:pt>
                <c:pt idx="260">
                  <c:v>0.80221964996837392</c:v>
                </c:pt>
                <c:pt idx="261">
                  <c:v>0.80215036337806755</c:v>
                </c:pt>
                <c:pt idx="262">
                  <c:v>0.80208185974219992</c:v>
                </c:pt>
                <c:pt idx="263">
                  <c:v>0.802014127329433</c:v>
                </c:pt>
                <c:pt idx="264">
                  <c:v>0.80194715462694288</c:v>
                </c:pt>
                <c:pt idx="265">
                  <c:v>0.80188093033556118</c:v>
                </c:pt>
                <c:pt idx="266">
                  <c:v>0.80181544336504362</c:v>
                </c:pt>
                <c:pt idx="267">
                  <c:v>0.80175068282945794</c:v>
                </c:pt>
                <c:pt idx="268">
                  <c:v>0.80168663804269291</c:v>
                </c:pt>
                <c:pt idx="269">
                  <c:v>0.80162329851407899</c:v>
                </c:pt>
                <c:pt idx="270">
                  <c:v>0.80156065394412246</c:v>
                </c:pt>
                <c:pt idx="271">
                  <c:v>0.80149869422034659</c:v>
                </c:pt>
                <c:pt idx="272">
                  <c:v>0.80143740941323793</c:v>
                </c:pt>
                <c:pt idx="273">
                  <c:v>0.80137678977229543</c:v>
                </c:pt>
                <c:pt idx="274">
                  <c:v>0.80131682572217677</c:v>
                </c:pt>
                <c:pt idx="275">
                  <c:v>0.80125750785894267</c:v>
                </c:pt>
                <c:pt idx="276">
                  <c:v>0.80119882694639433</c:v>
                </c:pt>
                <c:pt idx="277">
                  <c:v>0.80114077391250071</c:v>
                </c:pt>
                <c:pt idx="278">
                  <c:v>0.80108333984591551</c:v>
                </c:pt>
                <c:pt idx="279">
                  <c:v>0.80102651599257912</c:v>
                </c:pt>
                <c:pt idx="280">
                  <c:v>0.80097029375240403</c:v>
                </c:pt>
                <c:pt idx="281">
                  <c:v>0.80091466467604144</c:v>
                </c:pt>
                <c:pt idx="282">
                  <c:v>0.80085962046172654</c:v>
                </c:pt>
                <c:pt idx="283">
                  <c:v>0.80080515295220156</c:v>
                </c:pt>
                <c:pt idx="284">
                  <c:v>0.80075125413171055</c:v>
                </c:pt>
                <c:pt idx="285">
                  <c:v>0.80069791612307017</c:v>
                </c:pt>
                <c:pt idx="286">
                  <c:v>0.8006451311848084</c:v>
                </c:pt>
                <c:pt idx="287">
                  <c:v>0.80059289170837256</c:v>
                </c:pt>
                <c:pt idx="288">
                  <c:v>0.8005411902154046</c:v>
                </c:pt>
                <c:pt idx="289">
                  <c:v>0.80049001935507991</c:v>
                </c:pt>
                <c:pt idx="290">
                  <c:v>0.80043937190151093</c:v>
                </c:pt>
                <c:pt idx="291">
                  <c:v>0.80038924075121098</c:v>
                </c:pt>
                <c:pt idx="292">
                  <c:v>0.80033961892061789</c:v>
                </c:pt>
                <c:pt idx="293">
                  <c:v>0.80029049954367659</c:v>
                </c:pt>
                <c:pt idx="294">
                  <c:v>0.80024187586947748</c:v>
                </c:pt>
                <c:pt idx="295">
                  <c:v>0.80019374125995035</c:v>
                </c:pt>
                <c:pt idx="296">
                  <c:v>0.80014608918761154</c:v>
                </c:pt>
                <c:pt idx="297">
                  <c:v>0.80009891323336402</c:v>
                </c:pt>
                <c:pt idx="298">
                  <c:v>0.80005220708434754</c:v>
                </c:pt>
                <c:pt idx="299">
                  <c:v>0.80000596453183881</c:v>
                </c:pt>
                <c:pt idx="300">
                  <c:v>0.79996017946919917</c:v>
                </c:pt>
                <c:pt idx="301">
                  <c:v>0.79991484588987094</c:v>
                </c:pt>
                <c:pt idx="302">
                  <c:v>0.79986995788541648</c:v>
                </c:pt>
                <c:pt idx="303">
                  <c:v>0.79982550964360544</c:v>
                </c:pt>
                <c:pt idx="304">
                  <c:v>0.79978149544654209</c:v>
                </c:pt>
                <c:pt idx="305">
                  <c:v>0.7997379096688374</c:v>
                </c:pt>
                <c:pt idx="306">
                  <c:v>0.79969474677582053</c:v>
                </c:pt>
                <c:pt idx="307">
                  <c:v>0.79965200132179137</c:v>
                </c:pt>
                <c:pt idx="308">
                  <c:v>0.79960966794831256</c:v>
                </c:pt>
                <c:pt idx="309">
                  <c:v>0.79956774138253861</c:v>
                </c:pt>
                <c:pt idx="310">
                  <c:v>0.79952621643558219</c:v>
                </c:pt>
                <c:pt idx="311">
                  <c:v>0.799485088000918</c:v>
                </c:pt>
                <c:pt idx="312">
                  <c:v>0.79944435105281997</c:v>
                </c:pt>
                <c:pt idx="313">
                  <c:v>0.79940400064483474</c:v>
                </c:pt>
                <c:pt idx="314">
                  <c:v>0.79936403190828698</c:v>
                </c:pt>
                <c:pt idx="315">
                  <c:v>0.79932444005081926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42-4D2E-A8A4-5A030717E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402223"/>
        <c:axId val="1502836831"/>
      </c:scatterChart>
      <c:valAx>
        <c:axId val="150340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Bank Radius</a:t>
                </a:r>
                <a:r>
                  <a:rPr lang="en-US" baseline="0"/>
                  <a:t> - ft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836831"/>
        <c:crosses val="autoZero"/>
        <c:crossBetween val="midCat"/>
      </c:valAx>
      <c:valAx>
        <c:axId val="150283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Bank Agnle - Degrees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40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2D Airfoil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'Airfoil Estimation'!$E$2:$E$20</c:f>
              <c:numCache>
                <c:formatCode>General</c:formatCode>
                <c:ptCount val="19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</c:numCache>
            </c:numRef>
          </c:xVal>
          <c:yVal>
            <c:numRef>
              <c:f>'Airfoil Estimation'!$G$2:$G$20</c:f>
              <c:numCache>
                <c:formatCode>General</c:formatCode>
                <c:ptCount val="19"/>
                <c:pt idx="0">
                  <c:v>-0.30089582109466761</c:v>
                </c:pt>
                <c:pt idx="1">
                  <c:v>-0.20059721406311173</c:v>
                </c:pt>
                <c:pt idx="2">
                  <c:v>-0.10029860703155589</c:v>
                </c:pt>
                <c:pt idx="3">
                  <c:v>0</c:v>
                </c:pt>
                <c:pt idx="4">
                  <c:v>0.10029860703155587</c:v>
                </c:pt>
                <c:pt idx="5">
                  <c:v>0.20059721406311173</c:v>
                </c:pt>
                <c:pt idx="6">
                  <c:v>0.30089582109466761</c:v>
                </c:pt>
                <c:pt idx="7">
                  <c:v>0.40119442812622347</c:v>
                </c:pt>
                <c:pt idx="8">
                  <c:v>0.50149303515777943</c:v>
                </c:pt>
                <c:pt idx="9">
                  <c:v>0.60179164218933523</c:v>
                </c:pt>
                <c:pt idx="10">
                  <c:v>0.70209024922089114</c:v>
                </c:pt>
                <c:pt idx="11">
                  <c:v>0.80238885625244694</c:v>
                </c:pt>
                <c:pt idx="12">
                  <c:v>0.90268746328400284</c:v>
                </c:pt>
                <c:pt idx="13">
                  <c:v>1.0029860703155586</c:v>
                </c:pt>
                <c:pt idx="14">
                  <c:v>1.1032846773471146</c:v>
                </c:pt>
                <c:pt idx="15">
                  <c:v>1.2035832843786705</c:v>
                </c:pt>
                <c:pt idx="16">
                  <c:v>1.3038818914102261</c:v>
                </c:pt>
                <c:pt idx="17">
                  <c:v>1.4041804984417823</c:v>
                </c:pt>
                <c:pt idx="18">
                  <c:v>1.5044791054733382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47-4B95-82FD-E242346AF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352528"/>
        <c:axId val="752350288"/>
      </c:scatterChart>
      <c:valAx>
        <c:axId val="75235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 of Attack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350288"/>
        <c:crosses val="autoZero"/>
        <c:crossBetween val="midCat"/>
      </c:valAx>
      <c:valAx>
        <c:axId val="75235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35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</xdr:row>
      <xdr:rowOff>19050</xdr:rowOff>
    </xdr:from>
    <xdr:to>
      <xdr:col>22</xdr:col>
      <xdr:colOff>446314</xdr:colOff>
      <xdr:row>24</xdr:row>
      <xdr:rowOff>166007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495F0D-5276-43A9-B27A-75FB91459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38100</xdr:rowOff>
    </xdr:from>
    <xdr:to>
      <xdr:col>15</xdr:col>
      <xdr:colOff>121920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28575</xdr:rowOff>
    </xdr:from>
    <xdr:to>
      <xdr:col>11</xdr:col>
      <xdr:colOff>418519</xdr:colOff>
      <xdr:row>7</xdr:row>
      <xdr:rowOff>85551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68D550-D3EA-4513-B767-C78C324C9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6275" y="28575"/>
          <a:ext cx="4647619" cy="13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BB8F-A39A-495C-889D-1A4ABBA159D6}">
  <sheetPr codeName="Sheet1"/>
  <dimension ref="A1:J48"/>
  <sheetViews>
    <sheetView zoomScale="60" zoomScaleNormal="60" workbookViewId="0">
      <selection activeCell="D5" sqref="D5"/>
    </sheetView>
  </sheetViews>
  <sheetFormatPr defaultRowHeight="15" x14ac:dyDescent="0.25"/>
  <cols>
    <col min="1" max="1" width="32.5703125" bestFit="1" customWidth="1"/>
    <col min="2" max="2" width="22.28515625" bestFit="1" customWidth="1"/>
    <col min="3" max="3" width="21" customWidth="1"/>
    <col min="4" max="4" width="23.28515625" customWidth="1"/>
    <col min="5" max="5" width="17.28515625" bestFit="1" customWidth="1"/>
    <col min="6" max="6" width="11.5703125" bestFit="1" customWidth="1"/>
    <col min="7" max="7" width="14.7109375" bestFit="1" customWidth="1"/>
    <col min="8" max="8" width="14.85546875" customWidth="1"/>
    <col min="9" max="9" width="21.28515625" customWidth="1"/>
    <col min="40" max="40" width="13" bestFit="1" customWidth="1"/>
    <col min="44" max="45" width="14.7109375" bestFit="1" customWidth="1"/>
    <col min="46" max="46" width="11.5703125" customWidth="1"/>
    <col min="47" max="47" width="20.140625" bestFit="1" customWidth="1"/>
    <col min="49" max="49" width="22.28515625" bestFit="1" customWidth="1"/>
    <col min="50" max="50" width="16.7109375" bestFit="1" customWidth="1"/>
  </cols>
  <sheetData>
    <row r="1" spans="1:9" ht="15.75" thickBot="1" x14ac:dyDescent="0.3">
      <c r="A1" s="10" t="s">
        <v>0</v>
      </c>
      <c r="B1" s="11"/>
    </row>
    <row r="2" spans="1:9" ht="15.75" thickBot="1" x14ac:dyDescent="0.3">
      <c r="A2" s="1" t="s">
        <v>57</v>
      </c>
      <c r="B2" s="1">
        <v>48</v>
      </c>
    </row>
    <row r="3" spans="1:9" ht="15.75" thickBot="1" x14ac:dyDescent="0.3">
      <c r="A3" s="1" t="s">
        <v>58</v>
      </c>
      <c r="B3" s="1">
        <f>362.88</f>
        <v>362.88</v>
      </c>
    </row>
    <row r="4" spans="1:9" ht="15.75" thickBot="1" x14ac:dyDescent="0.3">
      <c r="A4" s="1" t="s">
        <v>3</v>
      </c>
      <c r="B4" s="1">
        <f>B2^2/B3</f>
        <v>6.3492063492063489</v>
      </c>
    </row>
    <row r="5" spans="1:9" ht="15.75" thickBot="1" x14ac:dyDescent="0.3">
      <c r="A5" s="1" t="s">
        <v>4</v>
      </c>
      <c r="B5" s="1">
        <v>23</v>
      </c>
    </row>
    <row r="6" spans="1:9" ht="15.75" thickBot="1" x14ac:dyDescent="0.3">
      <c r="A6" s="1" t="s">
        <v>59</v>
      </c>
      <c r="B6" s="1">
        <f>10</f>
        <v>10</v>
      </c>
    </row>
    <row r="7" spans="1:9" ht="15.75" thickBot="1" x14ac:dyDescent="0.3">
      <c r="A7" s="1" t="s">
        <v>60</v>
      </c>
      <c r="B7" s="1">
        <f>4.4</f>
        <v>4.4000000000000004</v>
      </c>
    </row>
    <row r="8" spans="1:9" ht="15.75" thickBot="1" x14ac:dyDescent="0.3">
      <c r="A8" s="1" t="s">
        <v>7</v>
      </c>
      <c r="B8" s="1">
        <f>B7/B6</f>
        <v>0.44000000000000006</v>
      </c>
    </row>
    <row r="9" spans="1:9" ht="15.75" thickBot="1" x14ac:dyDescent="0.3">
      <c r="A9" s="1" t="s">
        <v>8</v>
      </c>
      <c r="B9" s="1">
        <f>2/(2-B4+SQRT(4+B4^2*(1+TAN(B5*PI()/180)^2)))</f>
        <v>0.70610804752631118</v>
      </c>
    </row>
    <row r="10" spans="1:9" ht="15.75" thickBot="1" x14ac:dyDescent="0.3">
      <c r="A10" s="1" t="s">
        <v>9</v>
      </c>
      <c r="B10" s="1">
        <f>2*PI()</f>
        <v>6.2831853071795862</v>
      </c>
    </row>
    <row r="11" spans="1:9" ht="15.75" thickBot="1" x14ac:dyDescent="0.3">
      <c r="A11" s="1" t="s">
        <v>10</v>
      </c>
      <c r="B11" s="1">
        <f>(B10*COS(B5*PI()/180)/(SQRT(1+(B10*COS(B5*PI()/180)/(PI()*B4))^2)+(B10*COS(B5*PI()/180)/(PI()*B4))))</f>
        <v>4.3448954498463737</v>
      </c>
    </row>
    <row r="12" spans="1:9" ht="15.75" thickBot="1" x14ac:dyDescent="0.3">
      <c r="A12" s="1" t="s">
        <v>11</v>
      </c>
      <c r="B12" s="1">
        <v>2</v>
      </c>
    </row>
    <row r="13" spans="1:9" ht="15.75" thickBot="1" x14ac:dyDescent="0.3">
      <c r="A13" s="1" t="s">
        <v>61</v>
      </c>
      <c r="B13" s="1">
        <f>B6*2/3*((1+B8+B8^2)/(1+B8))</f>
        <v>7.5629629629629624</v>
      </c>
    </row>
    <row r="14" spans="1:9" ht="15.75" thickBot="1" x14ac:dyDescent="0.3">
      <c r="A14" s="1" t="s">
        <v>13</v>
      </c>
      <c r="B14" s="1">
        <v>-2</v>
      </c>
    </row>
    <row r="15" spans="1:9" ht="15.75" thickBot="1" x14ac:dyDescent="0.3">
      <c r="A15" s="1" t="s">
        <v>14</v>
      </c>
      <c r="B15" s="1">
        <f>B14*PI()/180</f>
        <v>-3.4906585039886591E-2</v>
      </c>
    </row>
    <row r="16" spans="1:9" ht="15.75" thickBot="1" x14ac:dyDescent="0.3">
      <c r="A16" s="2" t="s">
        <v>15</v>
      </c>
      <c r="B16" s="3" t="s">
        <v>16</v>
      </c>
      <c r="C16" s="3" t="s">
        <v>17</v>
      </c>
      <c r="D16" s="3" t="s">
        <v>18</v>
      </c>
      <c r="E16" s="3" t="s">
        <v>19</v>
      </c>
      <c r="F16" s="3" t="s">
        <v>20</v>
      </c>
      <c r="G16" s="3" t="s">
        <v>21</v>
      </c>
      <c r="H16" s="3" t="s">
        <v>22</v>
      </c>
      <c r="I16" s="3" t="s">
        <v>62</v>
      </c>
    </row>
    <row r="17" spans="1:10" ht="15.75" thickBot="1" x14ac:dyDescent="0.3">
      <c r="A17" s="2" t="s">
        <v>23</v>
      </c>
      <c r="B17" s="4">
        <f>PI()*3.25*(11.5)</f>
        <v>117.41702542791853</v>
      </c>
      <c r="C17" s="4">
        <v>269.68</v>
      </c>
      <c r="D17" s="4">
        <f>21</f>
        <v>21</v>
      </c>
      <c r="E17" s="4" t="s">
        <v>24</v>
      </c>
      <c r="F17" s="4">
        <v>0</v>
      </c>
      <c r="G17" s="4">
        <v>100</v>
      </c>
      <c r="H17" s="4">
        <f>1+60/(B27)^3+(B27)*0.0025</f>
        <v>2.7873124268022225</v>
      </c>
      <c r="I17" s="4">
        <f>1</f>
        <v>1</v>
      </c>
    </row>
    <row r="18" spans="1:10" ht="15.75" thickBot="1" x14ac:dyDescent="0.3">
      <c r="A18" s="2" t="s">
        <v>25</v>
      </c>
      <c r="B18" s="4">
        <f>362.88</f>
        <v>362.88</v>
      </c>
      <c r="C18" s="4">
        <f>B18*2*(1+0.2*0.13)</f>
        <v>744.62976000000003</v>
      </c>
      <c r="D18" s="4">
        <f>B13</f>
        <v>7.5629629629629624</v>
      </c>
      <c r="E18" s="4" t="s">
        <v>26</v>
      </c>
      <c r="F18" s="4">
        <v>20</v>
      </c>
      <c r="G18" s="4">
        <f t="shared" ref="G18:G23" si="0">100-F18</f>
        <v>80</v>
      </c>
      <c r="H18" s="4">
        <f>1 + 0.6/$B$28 * $B$29 + 100*$B$29^4</f>
        <v>1.2885610000000001</v>
      </c>
      <c r="I18" s="4">
        <f>1</f>
        <v>1</v>
      </c>
    </row>
    <row r="19" spans="1:10" ht="15.75" thickBot="1" x14ac:dyDescent="0.3">
      <c r="A19" s="2" t="s">
        <v>27</v>
      </c>
      <c r="B19" s="4">
        <v>0</v>
      </c>
      <c r="C19" s="4">
        <f>2*1/2*7*4</f>
        <v>28</v>
      </c>
      <c r="D19" s="4">
        <f>14/4</f>
        <v>3.5</v>
      </c>
      <c r="E19" s="4" t="s">
        <v>26</v>
      </c>
      <c r="F19" s="4">
        <v>0</v>
      </c>
      <c r="G19" s="4">
        <f t="shared" si="0"/>
        <v>100</v>
      </c>
      <c r="H19" s="4">
        <f>1 + 0.6/($B$36) * $B$35 + 100 * $B$35^4</f>
        <v>1.1749211467892315</v>
      </c>
      <c r="I19" s="4">
        <f>1.03</f>
        <v>1.03</v>
      </c>
    </row>
    <row r="20" spans="1:10" ht="15.75" thickBot="1" x14ac:dyDescent="0.3">
      <c r="A20" s="2" t="s">
        <v>28</v>
      </c>
      <c r="B20" s="4">
        <v>3.65</v>
      </c>
      <c r="C20" s="4">
        <v>12.8634</v>
      </c>
      <c r="D20" s="4">
        <f>4.72</f>
        <v>4.72</v>
      </c>
      <c r="E20" s="4" t="s">
        <v>29</v>
      </c>
      <c r="F20" s="4">
        <v>0</v>
      </c>
      <c r="G20" s="4">
        <f t="shared" si="0"/>
        <v>100</v>
      </c>
      <c r="H20" s="4">
        <f xml:space="preserve"> 1 + ( 0.35 / (120/25 ) )</f>
        <v>1.0729166666666667</v>
      </c>
      <c r="I20" s="4">
        <f>1.5</f>
        <v>1.5</v>
      </c>
    </row>
    <row r="21" spans="1:10" ht="15.75" thickBot="1" x14ac:dyDescent="0.3">
      <c r="A21" s="2" t="s">
        <v>30</v>
      </c>
      <c r="B21" s="4">
        <v>1.82</v>
      </c>
      <c r="C21" s="4">
        <v>7.8596000000000004</v>
      </c>
      <c r="D21" s="4">
        <f>3.93</f>
        <v>3.93</v>
      </c>
      <c r="E21" s="4" t="s">
        <v>29</v>
      </c>
      <c r="F21" s="4">
        <v>0</v>
      </c>
      <c r="G21" s="4">
        <f t="shared" si="0"/>
        <v>100</v>
      </c>
      <c r="H21" s="4">
        <f xml:space="preserve"> 1 + ( 0.35 / (100/15 ) )</f>
        <v>1.0525</v>
      </c>
      <c r="I21" s="4">
        <f>1.3</f>
        <v>1.3</v>
      </c>
    </row>
    <row r="22" spans="1:10" ht="15.75" thickBot="1" x14ac:dyDescent="0.3">
      <c r="A22" s="2" t="s">
        <v>31</v>
      </c>
      <c r="B22" s="4">
        <v>1.24</v>
      </c>
      <c r="C22" s="4">
        <v>5.3339999999999996</v>
      </c>
      <c r="D22" s="4">
        <f>3.46</f>
        <v>3.46</v>
      </c>
      <c r="E22" s="4" t="s">
        <v>29</v>
      </c>
      <c r="F22" s="4">
        <v>0</v>
      </c>
      <c r="G22" s="4">
        <f t="shared" si="0"/>
        <v>100</v>
      </c>
      <c r="H22" s="4">
        <f xml:space="preserve"> 1 + ( 0.35 / (85/12 ) )</f>
        <v>1.0494117647058823</v>
      </c>
      <c r="I22" s="4">
        <f>1.2</f>
        <v>1.2</v>
      </c>
    </row>
    <row r="23" spans="1:10" ht="15.75" thickBot="1" x14ac:dyDescent="0.3">
      <c r="A23" s="2" t="s">
        <v>32</v>
      </c>
      <c r="B23" s="4">
        <v>1.1000000000000001</v>
      </c>
      <c r="C23" s="4">
        <v>3.17</v>
      </c>
      <c r="D23" s="4">
        <f>2.952</f>
        <v>2.952</v>
      </c>
      <c r="E23" s="4" t="s">
        <v>29</v>
      </c>
      <c r="F23" s="4">
        <v>0</v>
      </c>
      <c r="G23" s="4">
        <f t="shared" si="0"/>
        <v>100</v>
      </c>
      <c r="H23" s="4">
        <f xml:space="preserve"> 1 + ( 0.35 / (75/12 ) )</f>
        <v>1.056</v>
      </c>
      <c r="I23" s="4">
        <f>1.5</f>
        <v>1.5</v>
      </c>
    </row>
    <row r="24" spans="1:10" x14ac:dyDescent="0.25">
      <c r="C24" t="s">
        <v>33</v>
      </c>
    </row>
    <row r="25" spans="1:10" ht="15.75" thickBot="1" x14ac:dyDescent="0.3"/>
    <row r="26" spans="1:10" ht="15.75" thickBot="1" x14ac:dyDescent="0.3">
      <c r="A26" s="10" t="s">
        <v>34</v>
      </c>
      <c r="B26" s="11"/>
    </row>
    <row r="27" spans="1:10" ht="15.75" thickBot="1" x14ac:dyDescent="0.3">
      <c r="A27" s="2" t="s">
        <v>35</v>
      </c>
      <c r="B27" s="5">
        <f>21/6.5</f>
        <v>3.2307692307692308</v>
      </c>
      <c r="C27" t="s">
        <v>36</v>
      </c>
      <c r="G27">
        <v>1178.0999999999999</v>
      </c>
      <c r="H27" t="s">
        <v>63</v>
      </c>
      <c r="I27">
        <f>G27*0.00155</f>
        <v>1.8260549999999998</v>
      </c>
      <c r="J27" t="s">
        <v>64</v>
      </c>
    </row>
    <row r="28" spans="1:10" ht="15.75" thickBot="1" x14ac:dyDescent="0.3">
      <c r="A28" s="2" t="s">
        <v>37</v>
      </c>
      <c r="B28" s="5">
        <f>0.3</f>
        <v>0.3</v>
      </c>
      <c r="C28" t="s">
        <v>38</v>
      </c>
      <c r="D28" s="6"/>
    </row>
    <row r="29" spans="1:10" ht="15.75" thickBot="1" x14ac:dyDescent="0.3">
      <c r="A29" s="2" t="s">
        <v>39</v>
      </c>
      <c r="B29" s="5">
        <f>1.3/10</f>
        <v>0.13</v>
      </c>
      <c r="C29" t="s">
        <v>38</v>
      </c>
      <c r="D29" s="6"/>
    </row>
    <row r="30" spans="1:10" ht="15.75" thickBot="1" x14ac:dyDescent="0.3">
      <c r="A30" s="2" t="s">
        <v>40</v>
      </c>
      <c r="B30" s="5">
        <f>20.56*PI()/180</f>
        <v>0.35883969421003409</v>
      </c>
      <c r="C30" t="s">
        <v>38</v>
      </c>
    </row>
    <row r="31" spans="1:10" ht="15.75" thickBot="1" x14ac:dyDescent="0.3">
      <c r="A31" s="2" t="s">
        <v>41</v>
      </c>
      <c r="B31" s="5">
        <f>120/25</f>
        <v>4.8</v>
      </c>
      <c r="C31" t="s">
        <v>42</v>
      </c>
    </row>
    <row r="32" spans="1:10" ht="15.75" thickBot="1" x14ac:dyDescent="0.3">
      <c r="A32" s="2" t="s">
        <v>43</v>
      </c>
      <c r="B32" s="5">
        <f>100/15</f>
        <v>6.666666666666667</v>
      </c>
      <c r="C32" t="s">
        <v>42</v>
      </c>
    </row>
    <row r="33" spans="1:4" ht="15.75" thickBot="1" x14ac:dyDescent="0.3">
      <c r="A33" s="2" t="s">
        <v>44</v>
      </c>
      <c r="B33" s="5">
        <f>85/12</f>
        <v>7.083333333333333</v>
      </c>
      <c r="C33" t="s">
        <v>42</v>
      </c>
    </row>
    <row r="34" spans="1:4" ht="15.75" thickBot="1" x14ac:dyDescent="0.3">
      <c r="A34" s="2" t="s">
        <v>45</v>
      </c>
      <c r="B34" s="5">
        <f>75/12</f>
        <v>6.25</v>
      </c>
      <c r="C34" t="s">
        <v>42</v>
      </c>
    </row>
    <row r="35" spans="1:4" ht="15.75" thickBot="1" x14ac:dyDescent="0.3">
      <c r="A35" s="2" t="s">
        <v>46</v>
      </c>
      <c r="B35" s="5">
        <f>0.51/7</f>
        <v>7.2857142857142856E-2</v>
      </c>
      <c r="C35" t="s">
        <v>38</v>
      </c>
      <c r="D35" s="6"/>
    </row>
    <row r="36" spans="1:4" ht="15.75" thickBot="1" x14ac:dyDescent="0.3">
      <c r="A36" s="2" t="s">
        <v>47</v>
      </c>
      <c r="B36" s="5">
        <v>0.254</v>
      </c>
      <c r="C36" t="s">
        <v>38</v>
      </c>
      <c r="D36" s="6"/>
    </row>
    <row r="37" spans="1:4" ht="15.75" thickBot="1" x14ac:dyDescent="0.3">
      <c r="A37" s="2" t="s">
        <v>48</v>
      </c>
      <c r="B37" s="5">
        <f>56.5*PI()/180</f>
        <v>0.98611102737679612</v>
      </c>
      <c r="C37" t="s">
        <v>38</v>
      </c>
    </row>
    <row r="38" spans="1:4" ht="15.75" thickBot="1" x14ac:dyDescent="0.3"/>
    <row r="39" spans="1:4" ht="15.75" thickBot="1" x14ac:dyDescent="0.3">
      <c r="A39" s="2" t="s">
        <v>15</v>
      </c>
      <c r="B39" s="3" t="s">
        <v>49</v>
      </c>
    </row>
    <row r="40" spans="1:4" ht="15.75" thickBot="1" x14ac:dyDescent="0.3">
      <c r="A40" s="2" t="s">
        <v>23</v>
      </c>
      <c r="B40" s="4">
        <f>B18/144</f>
        <v>2.52</v>
      </c>
    </row>
    <row r="48" spans="1:4" x14ac:dyDescent="0.25">
      <c r="D48" t="s">
        <v>50</v>
      </c>
    </row>
  </sheetData>
  <mergeCells count="2">
    <mergeCell ref="A1:B1"/>
    <mergeCell ref="A26:B26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6BEB-8167-40B5-86FF-344F7425EB00}">
  <dimension ref="A1:K317"/>
  <sheetViews>
    <sheetView zoomScale="70" zoomScaleNormal="70" workbookViewId="0">
      <selection activeCell="H8" sqref="H8"/>
    </sheetView>
  </sheetViews>
  <sheetFormatPr defaultRowHeight="15" x14ac:dyDescent="0.25"/>
  <cols>
    <col min="1" max="1" width="11.5703125" bestFit="1" customWidth="1"/>
    <col min="2" max="2" width="28.7109375" bestFit="1" customWidth="1"/>
    <col min="3" max="3" width="15" bestFit="1" customWidth="1"/>
    <col min="4" max="4" width="12" bestFit="1" customWidth="1"/>
    <col min="5" max="5" width="14.5703125" bestFit="1" customWidth="1"/>
    <col min="7" max="7" width="10.140625" customWidth="1"/>
    <col min="8" max="8" width="17.28515625" bestFit="1" customWidth="1"/>
    <col min="11" max="11" width="9.85546875" bestFit="1" customWidth="1"/>
  </cols>
  <sheetData>
    <row r="1" spans="1:11" x14ac:dyDescent="0.25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55</v>
      </c>
      <c r="H1" t="s">
        <v>75</v>
      </c>
      <c r="I1">
        <v>80000</v>
      </c>
      <c r="K1" t="s">
        <v>71</v>
      </c>
    </row>
    <row r="2" spans="1:11" x14ac:dyDescent="0.25">
      <c r="A2">
        <f>20</f>
        <v>20</v>
      </c>
      <c r="B2">
        <f>ATAN($I$2^2/($I$3*A2))</f>
        <v>1.5456453813820856</v>
      </c>
      <c r="C2">
        <f>B2*180/PI()</f>
        <v>88.558956977082019</v>
      </c>
      <c r="D2">
        <f>_xlfn.SEC(B2)</f>
        <v>39.764128930685132</v>
      </c>
      <c r="E2">
        <f t="shared" ref="E2:E51" si="0">$I$4/COS(B2)</f>
        <v>87.48108364750729</v>
      </c>
      <c r="F2">
        <f>E2/D2</f>
        <v>2.2000000000000002</v>
      </c>
      <c r="G2">
        <f>E2/(0.5*(0.86*10^-4)*$I$2^2*362.88/144)</f>
        <v>31.53589728664409</v>
      </c>
      <c r="H2" t="s">
        <v>72</v>
      </c>
      <c r="I2">
        <v>160</v>
      </c>
      <c r="K2" s="9">
        <f>SQRT($I$4^2+(($I$4/$I$3)*$I$2*2/A2)^2)</f>
        <v>2.4566268793606421</v>
      </c>
    </row>
    <row r="3" spans="1:11" x14ac:dyDescent="0.25">
      <c r="A3">
        <f>A2+20</f>
        <v>40</v>
      </c>
      <c r="B3">
        <f t="shared" ref="B3:B51" si="1">ATAN($I$2^2/($I$3*A3))</f>
        <v>1.5205262152432095</v>
      </c>
      <c r="C3">
        <f t="shared" ref="C3:C51" si="2">B3*180/PI()</f>
        <v>87.119734772436502</v>
      </c>
      <c r="D3">
        <f t="shared" ref="D3:D51" si="3">_xlfn.SEC(B3)</f>
        <v>19.900916747829339</v>
      </c>
      <c r="E3">
        <f t="shared" si="0"/>
        <v>43.782016845224547</v>
      </c>
      <c r="F3">
        <f t="shared" ref="F3:F51" si="4">E3/D3</f>
        <v>2.2000000000000002</v>
      </c>
      <c r="G3">
        <f t="shared" ref="G3:G51" si="5">E3/(0.5*(0.86*10^-4)*$I$2^2*362.88/144)</f>
        <v>15.78289989863957</v>
      </c>
      <c r="H3" t="s">
        <v>73</v>
      </c>
      <c r="I3">
        <v>32.200000000000003</v>
      </c>
      <c r="K3" s="9">
        <f t="shared" ref="K3:K51" si="6">SQRT($I$4^2+(($I$4/$I$3)*$I$2*2/A3)^2)</f>
        <v>2.2668819788642067</v>
      </c>
    </row>
    <row r="4" spans="1:11" x14ac:dyDescent="0.25">
      <c r="A4">
        <f t="shared" ref="A4:A67" si="7">A3+20</f>
        <v>60</v>
      </c>
      <c r="B4">
        <f t="shared" si="1"/>
        <v>1.4954703673831342</v>
      </c>
      <c r="C4">
        <f t="shared" si="2"/>
        <v>85.684140437932285</v>
      </c>
      <c r="D4">
        <f t="shared" si="3"/>
        <v>13.288198396472547</v>
      </c>
      <c r="E4">
        <f t="shared" si="0"/>
        <v>29.234036472239605</v>
      </c>
      <c r="F4">
        <f t="shared" si="4"/>
        <v>2.2000000000000002</v>
      </c>
      <c r="G4">
        <f t="shared" si="5"/>
        <v>10.538524821861015</v>
      </c>
      <c r="H4" t="s">
        <v>74</v>
      </c>
      <c r="I4">
        <v>2.2000000000000002</v>
      </c>
      <c r="K4" s="9">
        <f t="shared" si="6"/>
        <v>2.2299729849982293</v>
      </c>
    </row>
    <row r="5" spans="1:11" x14ac:dyDescent="0.25">
      <c r="A5">
        <f t="shared" si="7"/>
        <v>80</v>
      </c>
      <c r="B5">
        <f t="shared" si="1"/>
        <v>1.4705089007919636</v>
      </c>
      <c r="C5">
        <f t="shared" si="2"/>
        <v>84.25395375180139</v>
      </c>
      <c r="D5">
        <f t="shared" si="3"/>
        <v>9.9880739810540486</v>
      </c>
      <c r="E5">
        <f t="shared" si="0"/>
        <v>21.973762758318909</v>
      </c>
      <c r="F5">
        <f t="shared" si="4"/>
        <v>2.2000000000000002</v>
      </c>
      <c r="G5">
        <f t="shared" si="5"/>
        <v>7.9212819098083456</v>
      </c>
      <c r="K5" s="9">
        <f t="shared" si="6"/>
        <v>2.2169096681021592</v>
      </c>
    </row>
    <row r="6" spans="1:11" x14ac:dyDescent="0.25">
      <c r="A6">
        <f t="shared" si="7"/>
        <v>100</v>
      </c>
      <c r="B6">
        <f t="shared" si="1"/>
        <v>1.4456721755879685</v>
      </c>
      <c r="C6">
        <f t="shared" si="2"/>
        <v>82.830914220686282</v>
      </c>
      <c r="D6">
        <f t="shared" si="3"/>
        <v>8.0129543855338223</v>
      </c>
      <c r="E6">
        <f t="shared" si="0"/>
        <v>17.628499648174408</v>
      </c>
      <c r="F6">
        <f t="shared" si="4"/>
        <v>2.1999999999999997</v>
      </c>
      <c r="G6">
        <f t="shared" si="5"/>
        <v>6.3548658869214911</v>
      </c>
      <c r="K6" s="9">
        <f t="shared" si="6"/>
        <v>2.2108370869369569</v>
      </c>
    </row>
    <row r="7" spans="1:11" x14ac:dyDescent="0.25">
      <c r="A7">
        <f t="shared" si="7"/>
        <v>120</v>
      </c>
      <c r="B7">
        <f t="shared" si="1"/>
        <v>1.420989635106932</v>
      </c>
      <c r="C7">
        <f t="shared" si="2"/>
        <v>81.416708823462073</v>
      </c>
      <c r="D7">
        <f t="shared" si="3"/>
        <v>6.7003025421247857</v>
      </c>
      <c r="E7">
        <f t="shared" si="0"/>
        <v>14.74066559267453</v>
      </c>
      <c r="F7">
        <f t="shared" si="4"/>
        <v>2.2000000000000002</v>
      </c>
      <c r="G7">
        <f t="shared" si="5"/>
        <v>5.31383582238694</v>
      </c>
      <c r="K7" s="9">
        <f t="shared" si="6"/>
        <v>2.2075313992003553</v>
      </c>
    </row>
    <row r="8" spans="1:11" x14ac:dyDescent="0.25">
      <c r="A8">
        <f t="shared" si="7"/>
        <v>140</v>
      </c>
      <c r="B8">
        <f t="shared" si="1"/>
        <v>1.3964896085559</v>
      </c>
      <c r="C8">
        <f t="shared" si="2"/>
        <v>80.012960704129483</v>
      </c>
      <c r="D8">
        <f t="shared" si="3"/>
        <v>5.7661679518818207</v>
      </c>
      <c r="E8">
        <f t="shared" si="0"/>
        <v>12.685569494140008</v>
      </c>
      <c r="F8">
        <f t="shared" si="4"/>
        <v>2.2000000000000006</v>
      </c>
      <c r="G8">
        <f t="shared" si="5"/>
        <v>4.5729979546404955</v>
      </c>
      <c r="K8" s="9">
        <f t="shared" si="6"/>
        <v>2.205535779344169</v>
      </c>
    </row>
    <row r="9" spans="1:11" x14ac:dyDescent="0.25">
      <c r="A9">
        <f t="shared" si="7"/>
        <v>160</v>
      </c>
      <c r="B9">
        <f t="shared" si="1"/>
        <v>1.3721991333008292</v>
      </c>
      <c r="C9">
        <f t="shared" si="2"/>
        <v>78.621218989646962</v>
      </c>
      <c r="D9">
        <f t="shared" si="3"/>
        <v>5.0685703568908078</v>
      </c>
      <c r="E9">
        <f t="shared" si="0"/>
        <v>11.150854785159778</v>
      </c>
      <c r="F9">
        <f t="shared" si="4"/>
        <v>2.2000000000000002</v>
      </c>
      <c r="G9">
        <f t="shared" si="5"/>
        <v>4.019751430835214</v>
      </c>
      <c r="K9" s="9">
        <f t="shared" si="6"/>
        <v>2.204239578433163</v>
      </c>
    </row>
    <row r="10" spans="1:11" x14ac:dyDescent="0.25">
      <c r="A10">
        <f t="shared" si="7"/>
        <v>180</v>
      </c>
      <c r="B10">
        <f t="shared" si="1"/>
        <v>1.3481437992290779</v>
      </c>
      <c r="C10">
        <f t="shared" si="2"/>
        <v>77.24294987255837</v>
      </c>
      <c r="D10">
        <f t="shared" si="3"/>
        <v>4.5286276634074838</v>
      </c>
      <c r="E10">
        <f t="shared" si="0"/>
        <v>9.9629808594964651</v>
      </c>
      <c r="F10">
        <f t="shared" si="4"/>
        <v>2.2000000000000002</v>
      </c>
      <c r="G10">
        <f t="shared" si="5"/>
        <v>3.591536912366931</v>
      </c>
      <c r="K10" s="9">
        <f t="shared" si="6"/>
        <v>2.2033504667468464</v>
      </c>
    </row>
    <row r="11" spans="1:11" x14ac:dyDescent="0.25">
      <c r="A11">
        <f t="shared" si="7"/>
        <v>200</v>
      </c>
      <c r="B11">
        <f t="shared" si="1"/>
        <v>1.3243476169504225</v>
      </c>
      <c r="C11">
        <f t="shared" si="2"/>
        <v>75.879529059467416</v>
      </c>
      <c r="D11">
        <f t="shared" si="3"/>
        <v>4.0990071354123545</v>
      </c>
      <c r="E11">
        <f t="shared" si="0"/>
        <v>9.0178156979071797</v>
      </c>
      <c r="F11">
        <f t="shared" si="4"/>
        <v>2.2000000000000002</v>
      </c>
      <c r="G11">
        <f t="shared" si="5"/>
        <v>3.2508160363556589</v>
      </c>
      <c r="K11" s="9">
        <f t="shared" si="6"/>
        <v>2.2027142702229838</v>
      </c>
    </row>
    <row r="12" spans="1:11" x14ac:dyDescent="0.25">
      <c r="A12">
        <f t="shared" si="7"/>
        <v>220</v>
      </c>
      <c r="B12">
        <f t="shared" si="1"/>
        <v>1.3008329109062726</v>
      </c>
      <c r="C12">
        <f t="shared" si="2"/>
        <v>74.532235646646868</v>
      </c>
      <c r="D12">
        <f t="shared" si="3"/>
        <v>3.7495850454892397</v>
      </c>
      <c r="E12">
        <f t="shared" si="0"/>
        <v>8.2490871000763288</v>
      </c>
      <c r="F12">
        <f t="shared" si="4"/>
        <v>2.2000000000000006</v>
      </c>
      <c r="G12">
        <f t="shared" si="5"/>
        <v>2.9736984574264635</v>
      </c>
      <c r="K12" s="9">
        <f t="shared" si="6"/>
        <v>2.2022434384475078</v>
      </c>
    </row>
    <row r="13" spans="1:11" x14ac:dyDescent="0.25">
      <c r="A13">
        <f t="shared" si="7"/>
        <v>240</v>
      </c>
      <c r="B13">
        <f t="shared" si="1"/>
        <v>1.2776202377763535</v>
      </c>
      <c r="C13">
        <f t="shared" si="2"/>
        <v>73.20224744508576</v>
      </c>
      <c r="D13">
        <f t="shared" si="3"/>
        <v>3.460276511928055</v>
      </c>
      <c r="E13">
        <f t="shared" si="0"/>
        <v>7.6126083262417215</v>
      </c>
      <c r="F13">
        <f t="shared" si="4"/>
        <v>2.2000000000000002</v>
      </c>
      <c r="G13">
        <f t="shared" si="5"/>
        <v>2.7442553778499192</v>
      </c>
      <c r="K13" s="9">
        <f t="shared" si="6"/>
        <v>2.2018852648614256</v>
      </c>
    </row>
    <row r="14" spans="1:11" x14ac:dyDescent="0.25">
      <c r="A14">
        <f t="shared" si="7"/>
        <v>260</v>
      </c>
      <c r="B14">
        <f t="shared" si="1"/>
        <v>1.2547283299324192</v>
      </c>
      <c r="C14">
        <f t="shared" si="2"/>
        <v>71.890637740625905</v>
      </c>
      <c r="D14">
        <f t="shared" si="3"/>
        <v>3.2171746486042903</v>
      </c>
      <c r="E14">
        <f t="shared" si="0"/>
        <v>7.0777842269294391</v>
      </c>
      <c r="F14">
        <f t="shared" si="4"/>
        <v>2.2000000000000002</v>
      </c>
      <c r="G14">
        <f t="shared" si="5"/>
        <v>2.5514576076451756</v>
      </c>
      <c r="K14" s="9">
        <f t="shared" si="6"/>
        <v>2.2016064812698057</v>
      </c>
    </row>
    <row r="15" spans="1:11" x14ac:dyDescent="0.25">
      <c r="A15">
        <f t="shared" si="7"/>
        <v>280</v>
      </c>
      <c r="B15">
        <f t="shared" si="1"/>
        <v>1.2321740631118963</v>
      </c>
      <c r="C15">
        <f t="shared" si="2"/>
        <v>70.598373441797989</v>
      </c>
      <c r="D15">
        <f t="shared" si="3"/>
        <v>3.010344367730585</v>
      </c>
      <c r="E15">
        <f t="shared" si="0"/>
        <v>6.6227576090072882</v>
      </c>
      <c r="F15">
        <f t="shared" si="4"/>
        <v>2.2000000000000002</v>
      </c>
      <c r="G15">
        <f t="shared" si="5"/>
        <v>2.3874258868756661</v>
      </c>
      <c r="K15" s="9">
        <f t="shared" si="6"/>
        <v>2.2013852499033022</v>
      </c>
    </row>
    <row r="16" spans="1:11" x14ac:dyDescent="0.25">
      <c r="A16">
        <f t="shared" si="7"/>
        <v>300</v>
      </c>
      <c r="B16">
        <f t="shared" si="1"/>
        <v>1.2099724469876116</v>
      </c>
      <c r="C16">
        <f t="shared" si="2"/>
        <v>69.326314539506882</v>
      </c>
      <c r="D16">
        <f t="shared" si="3"/>
        <v>2.8324986610695211</v>
      </c>
      <c r="E16">
        <f t="shared" si="0"/>
        <v>6.2314970543529462</v>
      </c>
      <c r="F16">
        <f t="shared" si="4"/>
        <v>2.1999999999999997</v>
      </c>
      <c r="G16">
        <f t="shared" si="5"/>
        <v>2.2463810786790508</v>
      </c>
      <c r="K16" s="9">
        <f t="shared" si="6"/>
        <v>2.201206755521361</v>
      </c>
    </row>
    <row r="17" spans="1:11" x14ac:dyDescent="0.25">
      <c r="A17">
        <f t="shared" si="7"/>
        <v>320</v>
      </c>
      <c r="B17">
        <f t="shared" si="1"/>
        <v>1.188136636903862</v>
      </c>
      <c r="C17">
        <f t="shared" si="2"/>
        <v>68.075214779458818</v>
      </c>
      <c r="D17">
        <f t="shared" si="3"/>
        <v>2.6781712726575293</v>
      </c>
      <c r="E17">
        <f t="shared" si="0"/>
        <v>5.8919767998465646</v>
      </c>
      <c r="F17">
        <f t="shared" si="4"/>
        <v>2.2000000000000002</v>
      </c>
      <c r="G17">
        <f t="shared" si="5"/>
        <v>2.1239880375046734</v>
      </c>
      <c r="K17" s="9">
        <f t="shared" si="6"/>
        <v>2.2010606601779066</v>
      </c>
    </row>
    <row r="18" spans="1:11" x14ac:dyDescent="0.25">
      <c r="A18">
        <f t="shared" si="7"/>
        <v>340</v>
      </c>
      <c r="B18">
        <f t="shared" si="1"/>
        <v>1.1666779647392147</v>
      </c>
      <c r="C18">
        <f t="shared" si="2"/>
        <v>66.845723430469675</v>
      </c>
      <c r="D18">
        <f t="shared" si="3"/>
        <v>2.5431813643464292</v>
      </c>
      <c r="E18">
        <f t="shared" si="0"/>
        <v>5.5949990015621447</v>
      </c>
      <c r="F18">
        <f t="shared" si="4"/>
        <v>2.2000000000000002</v>
      </c>
      <c r="G18">
        <f t="shared" si="5"/>
        <v>2.0169310492665309</v>
      </c>
      <c r="K18" s="9">
        <f t="shared" si="6"/>
        <v>2.2009395725827061</v>
      </c>
    </row>
    <row r="19" spans="1:11" x14ac:dyDescent="0.25">
      <c r="A19">
        <f t="shared" si="7"/>
        <v>360</v>
      </c>
      <c r="B19">
        <f t="shared" si="1"/>
        <v>1.145605986642537</v>
      </c>
      <c r="C19">
        <f t="shared" si="2"/>
        <v>65.638388019537928</v>
      </c>
      <c r="D19">
        <f t="shared" si="3"/>
        <v>2.424276619621796</v>
      </c>
      <c r="E19">
        <f t="shared" si="0"/>
        <v>5.3334085631679509</v>
      </c>
      <c r="F19">
        <f t="shared" si="4"/>
        <v>2.1999999999999997</v>
      </c>
      <c r="G19">
        <f t="shared" si="5"/>
        <v>1.9226307862564422</v>
      </c>
      <c r="K19" s="9">
        <f t="shared" si="6"/>
        <v>2.200838094869404</v>
      </c>
    </row>
    <row r="20" spans="1:11" x14ac:dyDescent="0.25">
      <c r="A20">
        <f t="shared" si="7"/>
        <v>380</v>
      </c>
      <c r="B20">
        <f t="shared" si="1"/>
        <v>1.1249285452662405</v>
      </c>
      <c r="C20">
        <f t="shared" si="2"/>
        <v>64.453657897546961</v>
      </c>
      <c r="D20">
        <f t="shared" si="3"/>
        <v>2.3188890438804193</v>
      </c>
      <c r="E20">
        <f t="shared" si="0"/>
        <v>5.1015558965369223</v>
      </c>
      <c r="F20">
        <f t="shared" si="4"/>
        <v>2.2000000000000002</v>
      </c>
      <c r="G20">
        <f t="shared" si="5"/>
        <v>1.8390506386902319</v>
      </c>
      <c r="K20" s="9">
        <f t="shared" si="6"/>
        <v>2.2007522106289836</v>
      </c>
    </row>
    <row r="21" spans="1:11" x14ac:dyDescent="0.25">
      <c r="A21">
        <f t="shared" si="7"/>
        <v>400</v>
      </c>
      <c r="B21">
        <f t="shared" si="1"/>
        <v>1.1046518440815485</v>
      </c>
      <c r="C21">
        <f t="shared" si="2"/>
        <v>63.291888497216192</v>
      </c>
      <c r="D21">
        <f t="shared" si="3"/>
        <v>2.2249640163473097</v>
      </c>
      <c r="E21">
        <f t="shared" si="0"/>
        <v>4.894920835964081</v>
      </c>
      <c r="F21">
        <f t="shared" si="4"/>
        <v>2.1999999999999997</v>
      </c>
      <c r="G21">
        <f t="shared" si="5"/>
        <v>1.7645611402256083</v>
      </c>
      <c r="K21" s="9">
        <f t="shared" si="6"/>
        <v>2.2006788814047802</v>
      </c>
    </row>
    <row r="22" spans="1:11" x14ac:dyDescent="0.25">
      <c r="A22">
        <f>A21+20</f>
        <v>420</v>
      </c>
      <c r="B22">
        <f t="shared" si="1"/>
        <v>1.0847805313941536</v>
      </c>
      <c r="C22">
        <f t="shared" si="2"/>
        <v>62.153346146843703</v>
      </c>
      <c r="D22">
        <f t="shared" si="3"/>
        <v>2.1408381756610346</v>
      </c>
      <c r="E22">
        <f t="shared" si="0"/>
        <v>4.7098439864542758</v>
      </c>
      <c r="F22">
        <f t="shared" si="4"/>
        <v>2.1999999999999997</v>
      </c>
      <c r="G22">
        <f t="shared" si="5"/>
        <v>1.6978431221933383</v>
      </c>
      <c r="K22" s="9">
        <f t="shared" si="6"/>
        <v>2.2006157742769106</v>
      </c>
    </row>
    <row r="23" spans="1:11" x14ac:dyDescent="0.25">
      <c r="A23">
        <f t="shared" si="7"/>
        <v>440</v>
      </c>
      <c r="B23">
        <f t="shared" si="1"/>
        <v>1.0653177917728747</v>
      </c>
      <c r="C23">
        <f t="shared" si="2"/>
        <v>61.038213308782375</v>
      </c>
      <c r="D23">
        <f t="shared" si="3"/>
        <v>2.0651506006437246</v>
      </c>
      <c r="E23">
        <f t="shared" si="0"/>
        <v>4.5433313214161943</v>
      </c>
      <c r="F23">
        <f t="shared" si="4"/>
        <v>2.2000000000000002</v>
      </c>
      <c r="G23">
        <f t="shared" si="5"/>
        <v>1.6378172733741241</v>
      </c>
      <c r="K23" s="9">
        <f t="shared" si="6"/>
        <v>2.2005610740323198</v>
      </c>
    </row>
    <row r="24" spans="1:11" x14ac:dyDescent="0.25">
      <c r="A24">
        <f t="shared" si="7"/>
        <v>460</v>
      </c>
      <c r="B24">
        <f t="shared" si="1"/>
        <v>1.046265442746166</v>
      </c>
      <c r="C24">
        <f t="shared" si="2"/>
        <v>59.946594119741782</v>
      </c>
      <c r="D24">
        <f t="shared" si="3"/>
        <v>1.9967771526597575</v>
      </c>
      <c r="E24">
        <f t="shared" si="0"/>
        <v>4.3929097358514673</v>
      </c>
      <c r="F24">
        <f t="shared" si="4"/>
        <v>2.2000000000000002</v>
      </c>
      <c r="G24">
        <f t="shared" si="5"/>
        <v>1.583592068629549</v>
      </c>
      <c r="K24" s="9">
        <f t="shared" si="6"/>
        <v>2.2005133511846213</v>
      </c>
    </row>
    <row r="25" spans="1:11" x14ac:dyDescent="0.25">
      <c r="A25">
        <f t="shared" si="7"/>
        <v>480</v>
      </c>
      <c r="B25">
        <f t="shared" si="1"/>
        <v>1.0276240347991024</v>
      </c>
      <c r="C25">
        <f t="shared" si="2"/>
        <v>58.878520120193407</v>
      </c>
      <c r="D25">
        <f t="shared" si="3"/>
        <v>1.934781224001888</v>
      </c>
      <c r="E25">
        <f t="shared" si="0"/>
        <v>4.2565186928041543</v>
      </c>
      <c r="F25">
        <f t="shared" si="4"/>
        <v>2.2000000000000002</v>
      </c>
      <c r="G25">
        <f t="shared" si="5"/>
        <v>1.534424708727042</v>
      </c>
      <c r="K25" s="9">
        <f t="shared" si="6"/>
        <v>2.2004714676413024</v>
      </c>
    </row>
    <row r="26" spans="1:11" x14ac:dyDescent="0.25">
      <c r="A26">
        <f t="shared" si="7"/>
        <v>500</v>
      </c>
      <c r="B26">
        <f t="shared" si="1"/>
        <v>1.0093929529050072</v>
      </c>
      <c r="C26">
        <f t="shared" si="2"/>
        <v>57.833956071704385</v>
      </c>
      <c r="D26">
        <f t="shared" si="3"/>
        <v>1.8783762986648402</v>
      </c>
      <c r="E26">
        <f t="shared" si="0"/>
        <v>4.1324278570626491</v>
      </c>
      <c r="F26">
        <f t="shared" si="4"/>
        <v>2.2000000000000002</v>
      </c>
      <c r="G26">
        <f t="shared" si="5"/>
        <v>1.4896914282623637</v>
      </c>
      <c r="K26" s="9">
        <f t="shared" si="6"/>
        <v>2.2004345082276449</v>
      </c>
    </row>
    <row r="27" spans="1:11" x14ac:dyDescent="0.25">
      <c r="A27">
        <f t="shared" si="7"/>
        <v>520</v>
      </c>
      <c r="B27">
        <f t="shared" si="1"/>
        <v>0.99157051804071328</v>
      </c>
      <c r="C27">
        <f t="shared" si="2"/>
        <v>56.81280577333353</v>
      </c>
      <c r="D27">
        <f t="shared" si="3"/>
        <v>1.8268971454095424</v>
      </c>
      <c r="E27">
        <f t="shared" si="0"/>
        <v>4.0191737199009934</v>
      </c>
      <c r="F27">
        <f t="shared" si="4"/>
        <v>2.2000000000000002</v>
      </c>
      <c r="G27">
        <f t="shared" si="5"/>
        <v>1.4488646496274691</v>
      </c>
      <c r="K27" s="9">
        <f t="shared" si="6"/>
        <v>2.2004017302738843</v>
      </c>
    </row>
    <row r="28" spans="1:11" x14ac:dyDescent="0.25">
      <c r="A28">
        <f>A27+20</f>
        <v>540</v>
      </c>
      <c r="B28">
        <f t="shared" si="1"/>
        <v>0.97415408735343112</v>
      </c>
      <c r="C28">
        <f t="shared" si="2"/>
        <v>55.814917800770125</v>
      </c>
      <c r="D28">
        <f t="shared" si="3"/>
        <v>1.7797774053634259</v>
      </c>
      <c r="E28">
        <f t="shared" si="0"/>
        <v>3.9155102917995372</v>
      </c>
      <c r="F28">
        <f t="shared" si="4"/>
        <v>2.2000000000000002</v>
      </c>
      <c r="G28">
        <f t="shared" si="5"/>
        <v>1.4114952083187469</v>
      </c>
      <c r="K28" s="9">
        <f t="shared" si="6"/>
        <v>2.2003725260185063</v>
      </c>
    </row>
    <row r="29" spans="1:11" x14ac:dyDescent="0.25">
      <c r="A29">
        <f t="shared" si="7"/>
        <v>560</v>
      </c>
      <c r="B29">
        <f t="shared" si="1"/>
        <v>0.9571401518628958</v>
      </c>
      <c r="C29">
        <f t="shared" si="2"/>
        <v>54.840091104254611</v>
      </c>
      <c r="D29">
        <f t="shared" si="3"/>
        <v>1.7365319758305096</v>
      </c>
      <c r="E29">
        <f t="shared" si="0"/>
        <v>3.8203703468271213</v>
      </c>
      <c r="F29">
        <f t="shared" si="4"/>
        <v>2.2000000000000002</v>
      </c>
      <c r="G29">
        <f t="shared" si="5"/>
        <v>1.3771983819945961</v>
      </c>
      <c r="K29" s="9">
        <f t="shared" si="6"/>
        <v>2.2003463942349977</v>
      </c>
    </row>
    <row r="30" spans="1:11" x14ac:dyDescent="0.25">
      <c r="A30">
        <f t="shared" si="7"/>
        <v>580</v>
      </c>
      <c r="B30">
        <f t="shared" si="1"/>
        <v>0.94052443078895465</v>
      </c>
      <c r="C30">
        <f t="shared" si="2"/>
        <v>53.888080413151201</v>
      </c>
      <c r="D30">
        <f t="shared" si="3"/>
        <v>1.6967430329535778</v>
      </c>
      <c r="E30">
        <f t="shared" si="0"/>
        <v>3.7328346724978716</v>
      </c>
      <c r="F30">
        <f t="shared" si="4"/>
        <v>2.2000000000000002</v>
      </c>
      <c r="G30">
        <f t="shared" si="5"/>
        <v>1.3456428054120348</v>
      </c>
      <c r="K30" s="9">
        <f t="shared" si="6"/>
        <v>2.2003229185839195</v>
      </c>
    </row>
    <row r="31" spans="1:11" x14ac:dyDescent="0.25">
      <c r="A31">
        <f t="shared" si="7"/>
        <v>600</v>
      </c>
      <c r="B31">
        <f t="shared" si="1"/>
        <v>0.92430196178768165</v>
      </c>
      <c r="C31">
        <f t="shared" si="2"/>
        <v>52.958601406096449</v>
      </c>
      <c r="D31">
        <f t="shared" si="3"/>
        <v>1.6600488445344481</v>
      </c>
      <c r="E31">
        <f t="shared" si="0"/>
        <v>3.6521074579757862</v>
      </c>
      <c r="F31">
        <f t="shared" si="4"/>
        <v>2.2000000000000002</v>
      </c>
      <c r="G31">
        <f t="shared" si="5"/>
        <v>1.3165415981651822</v>
      </c>
      <c r="K31" s="9">
        <f t="shared" si="6"/>
        <v>2.2003017509283174</v>
      </c>
    </row>
    <row r="32" spans="1:11" x14ac:dyDescent="0.25">
      <c r="A32">
        <f t="shared" si="7"/>
        <v>620</v>
      </c>
      <c r="B32">
        <f t="shared" si="1"/>
        <v>0.90846718655544267</v>
      </c>
      <c r="C32">
        <f t="shared" si="2"/>
        <v>52.051335615750865</v>
      </c>
      <c r="D32">
        <f t="shared" si="3"/>
        <v>1.6261347433576276</v>
      </c>
      <c r="E32">
        <f t="shared" si="0"/>
        <v>3.5774964353867809</v>
      </c>
      <c r="F32">
        <f t="shared" si="4"/>
        <v>2.2000000000000002</v>
      </c>
      <c r="G32">
        <f t="shared" si="5"/>
        <v>1.2896452058628287</v>
      </c>
      <c r="K32" s="9">
        <f t="shared" si="6"/>
        <v>2.2002825983533203</v>
      </c>
    </row>
    <row r="33" spans="1:11" x14ac:dyDescent="0.25">
      <c r="A33">
        <f t="shared" si="7"/>
        <v>640</v>
      </c>
      <c r="B33">
        <f t="shared" si="1"/>
        <v>0.89301403141829716</v>
      </c>
      <c r="C33">
        <f t="shared" si="2"/>
        <v>51.165935046231525</v>
      </c>
      <c r="D33">
        <f t="shared" si="3"/>
        <v>1.5947257887869037</v>
      </c>
      <c r="E33">
        <f t="shared" si="0"/>
        <v>3.5083967353311887</v>
      </c>
      <c r="F33">
        <f t="shared" si="4"/>
        <v>2.2000000000000002</v>
      </c>
      <c r="G33">
        <f t="shared" si="5"/>
        <v>1.2647355802314004</v>
      </c>
      <c r="K33" s="9">
        <f t="shared" si="6"/>
        <v>2.2002652129790401</v>
      </c>
    </row>
    <row r="34" spans="1:11" x14ac:dyDescent="0.25">
      <c r="A34">
        <f t="shared" si="7"/>
        <v>660</v>
      </c>
      <c r="B34">
        <f t="shared" si="1"/>
        <v>0.87793598266290096</v>
      </c>
      <c r="C34">
        <f t="shared" si="2"/>
        <v>50.302026489254835</v>
      </c>
      <c r="D34">
        <f t="shared" si="3"/>
        <v>1.5655807588863537</v>
      </c>
      <c r="E34">
        <f t="shared" si="0"/>
        <v>3.4442776695499782</v>
      </c>
      <c r="F34">
        <f t="shared" si="4"/>
        <v>2.2000000000000002</v>
      </c>
      <c r="G34">
        <f t="shared" si="5"/>
        <v>1.2416214144222593</v>
      </c>
      <c r="K34" s="9">
        <f t="shared" si="6"/>
        <v>2.2002493839003572</v>
      </c>
    </row>
    <row r="35" spans="1:11" x14ac:dyDescent="0.25">
      <c r="A35">
        <f t="shared" si="7"/>
        <v>680</v>
      </c>
      <c r="B35">
        <f t="shared" si="1"/>
        <v>0.86322615648467171</v>
      </c>
      <c r="C35">
        <f t="shared" si="2"/>
        <v>49.459215531871244</v>
      </c>
      <c r="D35">
        <f t="shared" si="3"/>
        <v>1.5384871994884266</v>
      </c>
      <c r="E35">
        <f t="shared" si="0"/>
        <v>3.3846718388745387</v>
      </c>
      <c r="F35">
        <f t="shared" si="4"/>
        <v>2.2000000000000002</v>
      </c>
      <c r="G35">
        <f t="shared" si="5"/>
        <v>1.220134216556263</v>
      </c>
      <c r="K35" s="9">
        <f t="shared" si="6"/>
        <v>2.2002349307608351</v>
      </c>
    </row>
    <row r="36" spans="1:11" x14ac:dyDescent="0.25">
      <c r="A36">
        <f>A35+20</f>
        <v>700</v>
      </c>
      <c r="B36">
        <f t="shared" si="1"/>
        <v>0.84887736353003629</v>
      </c>
      <c r="C36">
        <f t="shared" si="2"/>
        <v>48.637090254463594</v>
      </c>
      <c r="D36">
        <f t="shared" si="3"/>
        <v>1.5132573191537386</v>
      </c>
      <c r="E36">
        <f t="shared" si="0"/>
        <v>3.3291661021382253</v>
      </c>
      <c r="F36">
        <f t="shared" si="4"/>
        <v>2.2000000000000002</v>
      </c>
      <c r="G36">
        <f t="shared" si="5"/>
        <v>1.2001250541230566</v>
      </c>
      <c r="K36" s="9">
        <f t="shared" si="6"/>
        <v>2.200221698592824</v>
      </c>
    </row>
    <row r="37" spans="1:11" x14ac:dyDescent="0.25">
      <c r="A37">
        <f t="shared" si="7"/>
        <v>720</v>
      </c>
      <c r="B37">
        <f t="shared" si="1"/>
        <v>0.83488216809315963</v>
      </c>
      <c r="C37">
        <f t="shared" si="2"/>
        <v>47.835224622469809</v>
      </c>
      <c r="D37">
        <f t="shared" si="3"/>
        <v>1.4897245658547822</v>
      </c>
      <c r="E37">
        <f t="shared" si="0"/>
        <v>3.2773940448805212</v>
      </c>
      <c r="F37">
        <f t="shared" si="4"/>
        <v>2.2000000000000002</v>
      </c>
      <c r="G37">
        <f t="shared" si="5"/>
        <v>1.1814618390378864</v>
      </c>
      <c r="K37" s="9">
        <f t="shared" si="6"/>
        <v>2.200209553646447</v>
      </c>
    </row>
    <row r="38" spans="1:11" x14ac:dyDescent="0.25">
      <c r="A38">
        <f t="shared" si="7"/>
        <v>740</v>
      </c>
      <c r="B38">
        <f t="shared" si="1"/>
        <v>0.82123294209506592</v>
      </c>
      <c r="C38">
        <f t="shared" si="2"/>
        <v>47.053181579158796</v>
      </c>
      <c r="D38">
        <f t="shared" si="3"/>
        <v>1.4677407566954621</v>
      </c>
      <c r="E38">
        <f t="shared" si="0"/>
        <v>3.229029664730017</v>
      </c>
      <c r="F38">
        <f t="shared" si="4"/>
        <v>2.2000000000000002</v>
      </c>
      <c r="G38">
        <f t="shared" si="5"/>
        <v>1.1640270512967541</v>
      </c>
      <c r="K38" s="9">
        <f t="shared" si="6"/>
        <v>2.2001983799966665</v>
      </c>
    </row>
    <row r="39" spans="1:11" x14ac:dyDescent="0.25">
      <c r="A39">
        <f t="shared" si="7"/>
        <v>760</v>
      </c>
      <c r="B39">
        <f t="shared" si="1"/>
        <v>0.80792191402605251</v>
      </c>
      <c r="C39">
        <f t="shared" si="2"/>
        <v>46.290515849824153</v>
      </c>
      <c r="D39">
        <f t="shared" si="3"/>
        <v>1.4471736590531079</v>
      </c>
      <c r="E39">
        <f t="shared" si="0"/>
        <v>3.1837820499168377</v>
      </c>
      <c r="F39">
        <f t="shared" si="4"/>
        <v>2.2000000000000002</v>
      </c>
      <c r="G39">
        <f t="shared" si="5"/>
        <v>1.1477158206430091</v>
      </c>
      <c r="K39" s="9">
        <f t="shared" si="6"/>
        <v>2.2001880767668682</v>
      </c>
    </row>
    <row r="40" spans="1:11" x14ac:dyDescent="0.25">
      <c r="A40">
        <f t="shared" si="7"/>
        <v>780</v>
      </c>
      <c r="B40">
        <f t="shared" si="1"/>
        <v>0.7949412130724397</v>
      </c>
      <c r="C40">
        <f t="shared" si="2"/>
        <v>45.546776470060699</v>
      </c>
      <c r="D40">
        <f t="shared" si="3"/>
        <v>1.4279049423552184</v>
      </c>
      <c r="E40">
        <f t="shared" si="0"/>
        <v>3.1413908731814808</v>
      </c>
      <c r="F40">
        <f t="shared" si="4"/>
        <v>2.2000000000000002</v>
      </c>
      <c r="G40">
        <f t="shared" si="5"/>
        <v>1.1324343021747101</v>
      </c>
      <c r="K40" s="9">
        <f t="shared" si="6"/>
        <v>2.2001785558441798</v>
      </c>
    </row>
    <row r="41" spans="1:11" x14ac:dyDescent="0.25">
      <c r="A41">
        <f t="shared" si="7"/>
        <v>800</v>
      </c>
      <c r="B41">
        <f t="shared" si="1"/>
        <v>0.78228290867763339</v>
      </c>
      <c r="C41">
        <f t="shared" si="2"/>
        <v>44.821509052446402</v>
      </c>
      <c r="D41">
        <f>_xlfn.SEC(B41)</f>
        <v>1.4098284358424922</v>
      </c>
      <c r="E41">
        <f t="shared" si="0"/>
        <v>3.1016225588534834</v>
      </c>
      <c r="F41">
        <f t="shared" si="4"/>
        <v>2.2000000000000006</v>
      </c>
      <c r="G41">
        <f t="shared" si="5"/>
        <v>1.1180982946217626</v>
      </c>
      <c r="K41" s="9">
        <f t="shared" si="6"/>
        <v>2.2001697399894513</v>
      </c>
    </row>
    <row r="42" spans="1:11" x14ac:dyDescent="0.25">
      <c r="A42">
        <f t="shared" si="7"/>
        <v>820</v>
      </c>
      <c r="B42">
        <f t="shared" si="1"/>
        <v>0.76993904580682682</v>
      </c>
      <c r="C42">
        <f t="shared" si="2"/>
        <v>44.114257807060945</v>
      </c>
      <c r="D42">
        <f t="shared" si="3"/>
        <v>1.3928486402661773</v>
      </c>
      <c r="E42">
        <f t="shared" si="0"/>
        <v>3.0642670085855905</v>
      </c>
      <c r="F42">
        <f t="shared" si="4"/>
        <v>2.2000000000000002</v>
      </c>
      <c r="G42">
        <f t="shared" si="5"/>
        <v>1.104632060011763</v>
      </c>
      <c r="K42" s="9">
        <f t="shared" si="6"/>
        <v>2.2001615612658676</v>
      </c>
    </row>
    <row r="43" spans="1:11" x14ac:dyDescent="0.25">
      <c r="A43">
        <f t="shared" si="7"/>
        <v>840</v>
      </c>
      <c r="B43">
        <f t="shared" si="1"/>
        <v>0.7579016761959283</v>
      </c>
      <c r="C43">
        <f t="shared" si="2"/>
        <v>43.424567331917416</v>
      </c>
      <c r="D43">
        <f t="shared" si="3"/>
        <v>1.3768794513652662</v>
      </c>
      <c r="E43">
        <f t="shared" si="0"/>
        <v>3.0291347930035859</v>
      </c>
      <c r="F43">
        <f t="shared" si="4"/>
        <v>2.2000000000000002</v>
      </c>
      <c r="G43">
        <f t="shared" si="5"/>
        <v>1.0919673112929362</v>
      </c>
      <c r="K43" s="9">
        <f t="shared" si="6"/>
        <v>2.2001539597262489</v>
      </c>
    </row>
    <row r="44" spans="1:11" x14ac:dyDescent="0.25">
      <c r="A44">
        <f t="shared" si="7"/>
        <v>860</v>
      </c>
      <c r="B44">
        <f t="shared" si="1"/>
        <v>0.74616288586988011</v>
      </c>
      <c r="C44">
        <f t="shared" si="2"/>
        <v>42.751984189645853</v>
      </c>
      <c r="D44">
        <f t="shared" si="3"/>
        <v>1.3618430607955387</v>
      </c>
      <c r="E44">
        <f t="shared" si="0"/>
        <v>2.9960547337501851</v>
      </c>
      <c r="F44">
        <f t="shared" si="4"/>
        <v>2.1999999999999997</v>
      </c>
      <c r="G44">
        <f t="shared" si="5"/>
        <v>1.0800423406895219</v>
      </c>
      <c r="K44" s="9">
        <f t="shared" si="6"/>
        <v>2.200146882311484</v>
      </c>
    </row>
    <row r="45" spans="1:11" x14ac:dyDescent="0.25">
      <c r="A45">
        <f t="shared" si="7"/>
        <v>880</v>
      </c>
      <c r="B45">
        <f t="shared" si="1"/>
        <v>0.73471481921467474</v>
      </c>
      <c r="C45">
        <f t="shared" si="2"/>
        <v>42.09605828671814</v>
      </c>
      <c r="D45">
        <f t="shared" si="3"/>
        <v>1.3476690064087633</v>
      </c>
      <c r="E45">
        <f t="shared" si="0"/>
        <v>2.9648718140992796</v>
      </c>
      <c r="F45">
        <f t="shared" si="4"/>
        <v>2.2000000000000002</v>
      </c>
      <c r="G45">
        <f t="shared" si="5"/>
        <v>1.0688012665028894</v>
      </c>
      <c r="K45" s="9">
        <f t="shared" si="6"/>
        <v>2.2001402819221707</v>
      </c>
    </row>
    <row r="46" spans="1:11" x14ac:dyDescent="0.25">
      <c r="A46">
        <f t="shared" si="7"/>
        <v>900</v>
      </c>
      <c r="B46">
        <f t="shared" si="1"/>
        <v>0.72354969988220652</v>
      </c>
      <c r="C46">
        <f t="shared" si="2"/>
        <v>41.456344071207795</v>
      </c>
      <c r="D46">
        <f t="shared" si="3"/>
        <v>1.3342933487622506</v>
      </c>
      <c r="E46">
        <f t="shared" si="0"/>
        <v>2.9354453672769516</v>
      </c>
      <c r="F46">
        <f t="shared" si="4"/>
        <v>2.2000000000000002</v>
      </c>
      <c r="G46">
        <f t="shared" si="5"/>
        <v>1.0581933800226644</v>
      </c>
      <c r="K46" s="9">
        <f t="shared" si="6"/>
        <v>2.2001341166330164</v>
      </c>
    </row>
    <row r="47" spans="1:11" x14ac:dyDescent="0.25">
      <c r="A47">
        <f t="shared" si="7"/>
        <v>920</v>
      </c>
      <c r="B47">
        <f t="shared" si="1"/>
        <v>0.71265984879857702</v>
      </c>
      <c r="C47">
        <f t="shared" si="2"/>
        <v>40.832401564589858</v>
      </c>
      <c r="D47">
        <f t="shared" si="3"/>
        <v>1.321657954746992</v>
      </c>
      <c r="E47">
        <f t="shared" si="0"/>
        <v>2.9076475004433826</v>
      </c>
      <c r="F47">
        <f t="shared" si="4"/>
        <v>2.2000000000000002</v>
      </c>
      <c r="G47">
        <f t="shared" si="5"/>
        <v>1.0481725773908235</v>
      </c>
      <c r="K47" s="9">
        <f t="shared" si="6"/>
        <v>2.200128349025448</v>
      </c>
    </row>
    <row r="48" spans="1:11" x14ac:dyDescent="0.25">
      <c r="A48">
        <f t="shared" si="7"/>
        <v>940</v>
      </c>
      <c r="B48">
        <f t="shared" si="1"/>
        <v>0.70203769953546169</v>
      </c>
      <c r="C48">
        <f t="shared" si="2"/>
        <v>40.223797242455348</v>
      </c>
      <c r="D48">
        <f t="shared" si="3"/>
        <v>1.309709872464105</v>
      </c>
      <c r="E48">
        <f t="shared" si="0"/>
        <v>2.8813617194210313</v>
      </c>
      <c r="F48">
        <f t="shared" si="4"/>
        <v>2.2000000000000002</v>
      </c>
      <c r="G48">
        <f t="shared" si="5"/>
        <v>1.0386968638324476</v>
      </c>
      <c r="K48" s="9">
        <f t="shared" si="6"/>
        <v>2.200122945618542</v>
      </c>
    </row>
    <row r="49" spans="1:11" x14ac:dyDescent="0.25">
      <c r="A49">
        <f t="shared" si="7"/>
        <v>960</v>
      </c>
      <c r="B49">
        <f t="shared" si="1"/>
        <v>0.69167581129133071</v>
      </c>
      <c r="C49">
        <f t="shared" si="2"/>
        <v>39.630104778280419</v>
      </c>
      <c r="D49">
        <f t="shared" si="3"/>
        <v>1.2984007841138887</v>
      </c>
      <c r="E49">
        <f t="shared" si="0"/>
        <v>2.8564817250505552</v>
      </c>
      <c r="F49">
        <f t="shared" si="4"/>
        <v>2.2000000000000002</v>
      </c>
      <c r="G49">
        <f t="shared" si="5"/>
        <v>1.0297279197562506</v>
      </c>
      <c r="K49" s="9">
        <f t="shared" si="6"/>
        <v>2.2001178763820515</v>
      </c>
    </row>
    <row r="50" spans="1:11" x14ac:dyDescent="0.25">
      <c r="A50">
        <f t="shared" si="7"/>
        <v>980</v>
      </c>
      <c r="B50">
        <f t="shared" si="1"/>
        <v>0.68156687971532026</v>
      </c>
      <c r="C50">
        <f t="shared" si="2"/>
        <v>39.050905663588487</v>
      </c>
      <c r="D50">
        <f t="shared" si="3"/>
        <v>1.2876865258134094</v>
      </c>
      <c r="E50">
        <f t="shared" si="0"/>
        <v>2.8329103567895011</v>
      </c>
      <c r="F50">
        <f t="shared" si="4"/>
        <v>2.2000000000000002</v>
      </c>
      <c r="G50">
        <f t="shared" si="5"/>
        <v>1.0212307199343844</v>
      </c>
      <c r="K50" s="9">
        <f t="shared" si="6"/>
        <v>2.2001131143182735</v>
      </c>
    </row>
    <row r="51" spans="1:11" x14ac:dyDescent="0.25">
      <c r="A51">
        <f t="shared" si="7"/>
        <v>1000</v>
      </c>
      <c r="B51">
        <f t="shared" si="1"/>
        <v>0.6717037457918319</v>
      </c>
      <c r="C51">
        <f t="shared" si="2"/>
        <v>38.485789717000301</v>
      </c>
      <c r="D51">
        <f t="shared" si="3"/>
        <v>1.2775266650236528</v>
      </c>
      <c r="E51">
        <f t="shared" si="0"/>
        <v>2.8105586630520363</v>
      </c>
      <c r="F51">
        <f t="shared" si="4"/>
        <v>2.2000000000000002</v>
      </c>
      <c r="G51">
        <f t="shared" si="5"/>
        <v>1.0131731983708949</v>
      </c>
      <c r="K51" s="9">
        <f t="shared" si="6"/>
        <v>2.2001086351018579</v>
      </c>
    </row>
    <row r="52" spans="1:11" x14ac:dyDescent="0.25">
      <c r="A52">
        <f t="shared" si="7"/>
        <v>1020</v>
      </c>
      <c r="B52">
        <f t="shared" ref="B52:B64" si="8">ATAN($I$2^2/($I$3*A52))</f>
        <v>0.66207940298892698</v>
      </c>
      <c r="C52">
        <f t="shared" ref="C52:C64" si="9">B52*180/PI()</f>
        <v>37.934355493806734</v>
      </c>
      <c r="D52">
        <f t="shared" ref="D52:D64" si="10">_xlfn.SEC(B52)</f>
        <v>1.2678841277217623</v>
      </c>
      <c r="E52">
        <f t="shared" ref="E52:E64" si="11">$I$4/COS(B52)</f>
        <v>2.7893450809878773</v>
      </c>
      <c r="F52">
        <f t="shared" ref="F52:F64" si="12">E52/D52</f>
        <v>2.2000000000000002</v>
      </c>
      <c r="G52">
        <f t="shared" ref="G52:G64" si="13">E52/(0.5*(0.86*10^-4)*$I$2^2*362.88/144)</f>
        <v>1.0055259526217142</v>
      </c>
    </row>
    <row r="53" spans="1:11" x14ac:dyDescent="0.25">
      <c r="A53">
        <f t="shared" si="7"/>
        <v>1040</v>
      </c>
      <c r="B53">
        <f t="shared" si="8"/>
        <v>0.65268700285857284</v>
      </c>
      <c r="C53">
        <f t="shared" si="9"/>
        <v>37.396210606839325</v>
      </c>
      <c r="D53">
        <f t="shared" si="10"/>
        <v>1.2587248686573183</v>
      </c>
      <c r="E53">
        <f t="shared" si="11"/>
        <v>2.7691947110461004</v>
      </c>
      <c r="F53">
        <f t="shared" si="12"/>
        <v>2.2000000000000002</v>
      </c>
      <c r="G53">
        <f t="shared" si="13"/>
        <v>0.99826198228348373</v>
      </c>
    </row>
    <row r="54" spans="1:11" x14ac:dyDescent="0.25">
      <c r="A54">
        <f t="shared" si="7"/>
        <v>1060</v>
      </c>
      <c r="B54">
        <f t="shared" si="8"/>
        <v>0.64351985926204391</v>
      </c>
      <c r="C54">
        <f t="shared" si="9"/>
        <v>36.870971968567837</v>
      </c>
      <c r="D54">
        <f t="shared" si="10"/>
        <v>1.250017579031413</v>
      </c>
      <c r="E54">
        <f t="shared" si="11"/>
        <v>2.7500386738691085</v>
      </c>
      <c r="F54">
        <f t="shared" si="12"/>
        <v>2.2000000000000002</v>
      </c>
      <c r="G54">
        <f t="shared" si="13"/>
        <v>0.99135645716142529</v>
      </c>
    </row>
    <row r="55" spans="1:11" x14ac:dyDescent="0.25">
      <c r="A55">
        <f t="shared" si="7"/>
        <v>1080</v>
      </c>
      <c r="B55">
        <f t="shared" si="8"/>
        <v>0.63457145137947701</v>
      </c>
      <c r="C55">
        <f t="shared" si="9"/>
        <v>36.358265963535153</v>
      </c>
      <c r="D55">
        <f t="shared" si="10"/>
        <v>1.2417334267710369</v>
      </c>
      <c r="E55">
        <f t="shared" si="11"/>
        <v>2.7318135388962816</v>
      </c>
      <c r="F55">
        <f t="shared" si="12"/>
        <v>2.2000000000000002</v>
      </c>
      <c r="G55">
        <f t="shared" si="13"/>
        <v>0.98478651128770767</v>
      </c>
    </row>
    <row r="56" spans="1:11" x14ac:dyDescent="0.25">
      <c r="A56">
        <f t="shared" si="7"/>
        <v>1100</v>
      </c>
      <c r="B56">
        <f t="shared" si="8"/>
        <v>0.62583542564885641</v>
      </c>
      <c r="C56">
        <f t="shared" si="9"/>
        <v>35.857728559452902</v>
      </c>
      <c r="D56">
        <f t="shared" si="10"/>
        <v>1.2338458252692115</v>
      </c>
      <c r="E56">
        <f t="shared" si="11"/>
        <v>2.7144608155922656</v>
      </c>
      <c r="F56">
        <f t="shared" si="12"/>
        <v>2.2000000000000002</v>
      </c>
      <c r="G56">
        <f t="shared" si="13"/>
        <v>0.97853105951525354</v>
      </c>
    </row>
    <row r="57" spans="1:11" x14ac:dyDescent="0.25">
      <c r="A57">
        <f t="shared" si="7"/>
        <v>1120</v>
      </c>
      <c r="B57">
        <f t="shared" si="8"/>
        <v>0.61730559676665819</v>
      </c>
      <c r="C57">
        <f t="shared" si="9"/>
        <v>35.369005364534154</v>
      </c>
      <c r="D57">
        <f t="shared" si="10"/>
        <v>1.2263302270475327</v>
      </c>
      <c r="E57">
        <f t="shared" si="11"/>
        <v>2.6979264995045722</v>
      </c>
      <c r="F57">
        <f t="shared" si="12"/>
        <v>2.2000000000000002</v>
      </c>
      <c r="G57">
        <f t="shared" si="13"/>
        <v>0.97257063387686737</v>
      </c>
    </row>
    <row r="58" spans="1:11" x14ac:dyDescent="0.25">
      <c r="A58">
        <f t="shared" si="7"/>
        <v>1140</v>
      </c>
      <c r="B58">
        <f t="shared" si="8"/>
        <v>0.60897594787008891</v>
      </c>
      <c r="C58">
        <f t="shared" si="9"/>
        <v>34.891751637934931</v>
      </c>
      <c r="D58">
        <f t="shared" si="10"/>
        <v>1.2191639392919433</v>
      </c>
      <c r="E58">
        <f t="shared" si="11"/>
        <v>2.6821606664422757</v>
      </c>
      <c r="F58">
        <f t="shared" si="12"/>
        <v>2.2000000000000002</v>
      </c>
      <c r="G58">
        <f t="shared" si="13"/>
        <v>0.96688723729144876</v>
      </c>
    </row>
    <row r="59" spans="1:11" x14ac:dyDescent="0.25">
      <c r="A59">
        <f t="shared" si="7"/>
        <v>1160</v>
      </c>
      <c r="B59">
        <f t="shared" si="8"/>
        <v>0.60084063000933041</v>
      </c>
      <c r="C59">
        <f t="shared" si="9"/>
        <v>34.425632259516071</v>
      </c>
      <c r="D59">
        <f t="shared" si="10"/>
        <v>1.2123259586304032</v>
      </c>
      <c r="E59">
        <f t="shared" si="11"/>
        <v>2.6671171089868873</v>
      </c>
      <c r="F59">
        <f t="shared" si="12"/>
        <v>2.2000000000000002</v>
      </c>
      <c r="G59">
        <f t="shared" si="13"/>
        <v>0.96146421253045666</v>
      </c>
    </row>
    <row r="60" spans="1:11" x14ac:dyDescent="0.25">
      <c r="A60">
        <f t="shared" si="7"/>
        <v>1180</v>
      </c>
      <c r="B60">
        <f t="shared" si="8"/>
        <v>0.59289396100747971</v>
      </c>
      <c r="C60">
        <f t="shared" si="9"/>
        <v>33.970321664522587</v>
      </c>
      <c r="D60">
        <f t="shared" si="10"/>
        <v>1.2057968228756124</v>
      </c>
      <c r="E60">
        <f t="shared" si="11"/>
        <v>2.6527530103263475</v>
      </c>
      <c r="F60">
        <f t="shared" si="12"/>
        <v>2.2000000000000002</v>
      </c>
      <c r="G60">
        <f t="shared" si="13"/>
        <v>0.95628612463891605</v>
      </c>
    </row>
    <row r="61" spans="1:11" x14ac:dyDescent="0.25">
      <c r="A61">
        <f t="shared" si="7"/>
        <v>1200</v>
      </c>
      <c r="B61">
        <f t="shared" si="8"/>
        <v>0.58513042379593616</v>
      </c>
      <c r="C61">
        <f t="shared" si="9"/>
        <v>33.525503748208372</v>
      </c>
      <c r="D61">
        <f t="shared" si="10"/>
        <v>1.1995584777575619</v>
      </c>
      <c r="E61">
        <f t="shared" si="11"/>
        <v>2.6390286510666363</v>
      </c>
      <c r="F61">
        <f t="shared" si="12"/>
        <v>2.2000000000000002</v>
      </c>
      <c r="G61">
        <f t="shared" si="13"/>
        <v>0.95133865524446737</v>
      </c>
    </row>
    <row r="62" spans="1:11" x14ac:dyDescent="0.25">
      <c r="A62">
        <f t="shared" si="7"/>
        <v>1220</v>
      </c>
      <c r="B62">
        <f t="shared" si="8"/>
        <v>0.57754466430383566</v>
      </c>
      <c r="C62">
        <f t="shared" si="9"/>
        <v>33.090871744909713</v>
      </c>
      <c r="D62">
        <f t="shared" si="10"/>
        <v>1.1935941569280881</v>
      </c>
      <c r="E62">
        <f t="shared" si="11"/>
        <v>2.6259071452417939</v>
      </c>
      <c r="F62">
        <f t="shared" si="12"/>
        <v>2.2000000000000002</v>
      </c>
      <c r="G62">
        <f t="shared" si="13"/>
        <v>0.94660850739209645</v>
      </c>
    </row>
    <row r="63" spans="1:11" x14ac:dyDescent="0.25">
      <c r="A63">
        <f t="shared" si="7"/>
        <v>1240</v>
      </c>
      <c r="B63">
        <f t="shared" si="8"/>
        <v>0.57013148897171551</v>
      </c>
      <c r="C63">
        <f t="shared" si="9"/>
        <v>32.666128085588738</v>
      </c>
      <c r="D63">
        <f t="shared" si="10"/>
        <v>1.1878882737398726</v>
      </c>
      <c r="E63">
        <f t="shared" si="11"/>
        <v>2.6133542022277201</v>
      </c>
      <c r="F63">
        <f t="shared" si="12"/>
        <v>2.2000000000000002</v>
      </c>
      <c r="G63">
        <f t="shared" si="13"/>
        <v>0.94208331971687265</v>
      </c>
    </row>
    <row r="64" spans="1:11" x14ac:dyDescent="0.25">
      <c r="A64">
        <f t="shared" si="7"/>
        <v>1260</v>
      </c>
      <c r="B64">
        <f t="shared" si="8"/>
        <v>0.56288586195191226</v>
      </c>
      <c r="C64">
        <f t="shared" si="9"/>
        <v>32.250984237428057</v>
      </c>
      <c r="D64">
        <f t="shared" si="10"/>
        <v>1.1824263234913608</v>
      </c>
      <c r="E64">
        <f t="shared" si="11"/>
        <v>2.6013379116809943</v>
      </c>
      <c r="F64">
        <f t="shared" si="12"/>
        <v>2.2000000000000006</v>
      </c>
      <c r="G64">
        <f t="shared" si="13"/>
        <v>0.93775158891693278</v>
      </c>
    </row>
    <row r="65" spans="1:7" x14ac:dyDescent="0.25">
      <c r="A65">
        <f t="shared" si="7"/>
        <v>1280</v>
      </c>
      <c r="B65">
        <f t="shared" ref="B65:B128" si="14">ATAN($I$2^2/($I$3*A65))</f>
        <v>0.55580290205117933</v>
      </c>
      <c r="C65">
        <f t="shared" ref="C65:C128" si="15">B65*180/PI()</f>
        <v>31.845160528655661</v>
      </c>
      <c r="D65">
        <f t="shared" ref="D65:D128" si="16">_xlfn.SEC(B65)</f>
        <v>1.1771947949916799</v>
      </c>
      <c r="E65">
        <f t="shared" ref="E65:E128" si="17">$I$4/COS(B65)</f>
        <v>2.5898285489816963</v>
      </c>
      <c r="F65">
        <f t="shared" ref="F65:F128" si="18">E65/D65</f>
        <v>2.2000000000000006</v>
      </c>
      <c r="G65">
        <f t="shared" ref="G65:G128" si="19">E65/(0.5*(0.86*10^-4)*$I$2^2*362.88/144)</f>
        <v>0.93360259961791725</v>
      </c>
    </row>
    <row r="66" spans="1:7" x14ac:dyDescent="0.25">
      <c r="A66">
        <f t="shared" si="7"/>
        <v>1300</v>
      </c>
      <c r="B66">
        <f t="shared" si="14"/>
        <v>0.5488778794646445</v>
      </c>
      <c r="C66">
        <f t="shared" si="15"/>
        <v>31.448385961414449</v>
      </c>
      <c r="D66">
        <f t="shared" si="16"/>
        <v>1.1721810904399053</v>
      </c>
      <c r="E66">
        <f t="shared" si="17"/>
        <v>2.5787983989677921</v>
      </c>
      <c r="F66">
        <f t="shared" si="18"/>
        <v>2.2000000000000006</v>
      </c>
      <c r="G66">
        <f t="shared" si="19"/>
        <v>0.92962636083129735</v>
      </c>
    </row>
    <row r="67" spans="1:7" x14ac:dyDescent="0.25">
      <c r="A67">
        <f t="shared" si="7"/>
        <v>1320</v>
      </c>
      <c r="B67">
        <f t="shared" si="14"/>
        <v>0.54210621234445955</v>
      </c>
      <c r="C67">
        <f t="shared" si="15"/>
        <v>31.060398015160342</v>
      </c>
      <c r="D67">
        <f t="shared" si="16"/>
        <v>1.1673734527342965</v>
      </c>
      <c r="E67">
        <f t="shared" si="17"/>
        <v>2.5682215960154524</v>
      </c>
      <c r="F67">
        <f t="shared" si="18"/>
        <v>2.2000000000000002</v>
      </c>
      <c r="G67">
        <f t="shared" si="19"/>
        <v>0.92581354830521967</v>
      </c>
    </row>
    <row r="68" spans="1:7" x14ac:dyDescent="0.25">
      <c r="A68">
        <f t="shared" ref="A68:A131" si="20">A67+20</f>
        <v>1340</v>
      </c>
      <c r="B68">
        <f t="shared" si="14"/>
        <v>0.53548346324127716</v>
      </c>
      <c r="C68">
        <f t="shared" si="15"/>
        <v>30.68094244277394</v>
      </c>
      <c r="D68">
        <f t="shared" si="16"/>
        <v>1.1627608994322163</v>
      </c>
      <c r="E68">
        <f t="shared" si="17"/>
        <v>2.5580739787508757</v>
      </c>
      <c r="F68">
        <f t="shared" si="18"/>
        <v>2.1999999999999997</v>
      </c>
      <c r="G68">
        <f t="shared" si="19"/>
        <v>0.92215545214983463</v>
      </c>
    </row>
    <row r="69" spans="1:7" x14ac:dyDescent="0.25">
      <c r="A69">
        <f t="shared" si="20"/>
        <v>1360</v>
      </c>
      <c r="B69">
        <f t="shared" si="14"/>
        <v>0.52900533545199624</v>
      </c>
      <c r="C69">
        <f t="shared" si="15"/>
        <v>30.309773061301726</v>
      </c>
      <c r="D69">
        <f t="shared" si="16"/>
        <v>1.1583331626727413</v>
      </c>
      <c r="E69">
        <f t="shared" si="17"/>
        <v>2.5483329578800311</v>
      </c>
      <c r="F69">
        <f t="shared" si="18"/>
        <v>2.2000000000000002</v>
      </c>
      <c r="G69">
        <f t="shared" si="19"/>
        <v>0.91864392919147941</v>
      </c>
    </row>
    <row r="70" spans="1:7" x14ac:dyDescent="0.25">
      <c r="A70">
        <f t="shared" si="20"/>
        <v>1380</v>
      </c>
      <c r="B70">
        <f t="shared" si="14"/>
        <v>0.52266766930299013</v>
      </c>
      <c r="C70">
        <f t="shared" si="15"/>
        <v>29.946651539000747</v>
      </c>
      <c r="D70">
        <f t="shared" si="16"/>
        <v>1.154080634453436</v>
      </c>
      <c r="E70">
        <f t="shared" si="17"/>
        <v>2.5389773957975597</v>
      </c>
      <c r="F70">
        <f t="shared" si="18"/>
        <v>2.2000000000000002</v>
      </c>
      <c r="G70">
        <f t="shared" si="19"/>
        <v>0.91527135957310979</v>
      </c>
    </row>
    <row r="71" spans="1:7" x14ac:dyDescent="0.25">
      <c r="A71">
        <f t="shared" si="20"/>
        <v>1400</v>
      </c>
      <c r="B71">
        <f t="shared" si="14"/>
        <v>0.51646643839424522</v>
      </c>
      <c r="C71">
        <f t="shared" si="15"/>
        <v>29.59134718014359</v>
      </c>
      <c r="D71">
        <f t="shared" si="16"/>
        <v>1.1499943167220827</v>
      </c>
      <c r="E71">
        <f t="shared" si="17"/>
        <v>2.529987496788582</v>
      </c>
      <c r="F71">
        <f t="shared" si="18"/>
        <v>2.2000000000000002</v>
      </c>
      <c r="G71">
        <f t="shared" si="19"/>
        <v>0.91203060717334794</v>
      </c>
    </row>
    <row r="72" spans="1:7" x14ac:dyDescent="0.25">
      <c r="A72">
        <f t="shared" si="20"/>
        <v>1420</v>
      </c>
      <c r="B72">
        <f t="shared" si="14"/>
        <v>0.51039774582644726</v>
      </c>
      <c r="C72">
        <f t="shared" si="15"/>
        <v>29.243636708846353</v>
      </c>
      <c r="D72">
        <f t="shared" si="16"/>
        <v>1.1460657758047599</v>
      </c>
      <c r="E72">
        <f t="shared" si="17"/>
        <v>2.521344706770472</v>
      </c>
      <c r="F72">
        <f t="shared" si="18"/>
        <v>2.2000000000000002</v>
      </c>
      <c r="G72">
        <f t="shared" si="19"/>
        <v>0.908914983464577</v>
      </c>
    </row>
    <row r="73" spans="1:7" x14ac:dyDescent="0.25">
      <c r="A73">
        <f t="shared" si="20"/>
        <v>1440</v>
      </c>
      <c r="B73">
        <f t="shared" si="14"/>
        <v>0.50445782043002396</v>
      </c>
      <c r="C73">
        <f t="shared" si="15"/>
        <v>28.903304053008728</v>
      </c>
      <c r="D73">
        <f t="shared" si="16"/>
        <v>1.1422871007447317</v>
      </c>
      <c r="E73">
        <f t="shared" si="17"/>
        <v>2.5130316216384099</v>
      </c>
      <c r="F73">
        <f t="shared" si="18"/>
        <v>2.2000000000000002</v>
      </c>
      <c r="G73">
        <f t="shared" si="19"/>
        <v>0.90591821447259491</v>
      </c>
    </row>
    <row r="74" spans="1:7" x14ac:dyDescent="0.25">
      <c r="A74">
        <f t="shared" si="20"/>
        <v>1460</v>
      </c>
      <c r="B74">
        <f t="shared" si="14"/>
        <v>0.49864301301245412</v>
      </c>
      <c r="C74">
        <f t="shared" si="15"/>
        <v>28.570140129300611</v>
      </c>
      <c r="D74">
        <f t="shared" si="16"/>
        <v>1.1386508651731853</v>
      </c>
      <c r="E74">
        <f t="shared" si="17"/>
        <v>2.505031903381008</v>
      </c>
      <c r="F74">
        <f t="shared" si="18"/>
        <v>2.2000000000000002</v>
      </c>
      <c r="G74">
        <f t="shared" si="19"/>
        <v>0.90303441053728883</v>
      </c>
    </row>
    <row r="75" spans="1:7" x14ac:dyDescent="0.25">
      <c r="A75">
        <f t="shared" si="20"/>
        <v>1480</v>
      </c>
      <c r="B75">
        <f t="shared" si="14"/>
        <v>0.49294979263775685</v>
      </c>
      <c r="C75">
        <f t="shared" si="15"/>
        <v>28.243942629992567</v>
      </c>
      <c r="D75">
        <f t="shared" si="16"/>
        <v>1.135150092373798</v>
      </c>
      <c r="E75">
        <f t="shared" si="17"/>
        <v>2.4973302032223557</v>
      </c>
      <c r="F75">
        <f t="shared" si="18"/>
        <v>2.2000000000000002</v>
      </c>
      <c r="G75">
        <f t="shared" si="19"/>
        <v>0.9002580386062502</v>
      </c>
    </row>
    <row r="76" spans="1:7" x14ac:dyDescent="0.25">
      <c r="A76">
        <f t="shared" si="20"/>
        <v>1500</v>
      </c>
      <c r="B76">
        <f t="shared" si="14"/>
        <v>0.48737474294994215</v>
      </c>
      <c r="C76">
        <f t="shared" si="15"/>
        <v>27.924515812305057</v>
      </c>
      <c r="D76">
        <f t="shared" si="16"/>
        <v>1.1317782232391755</v>
      </c>
      <c r="E76">
        <f t="shared" si="17"/>
        <v>2.4899120911261865</v>
      </c>
      <c r="F76">
        <f t="shared" si="18"/>
        <v>2.2000000000000002</v>
      </c>
      <c r="G76">
        <f t="shared" si="19"/>
        <v>0.89758389682185913</v>
      </c>
    </row>
    <row r="77" spans="1:7" x14ac:dyDescent="0.25">
      <c r="A77">
        <f t="shared" si="20"/>
        <v>1520</v>
      </c>
      <c r="B77">
        <f t="shared" si="14"/>
        <v>0.48191455855032128</v>
      </c>
      <c r="C77">
        <f t="shared" si="15"/>
        <v>27.611670290843612</v>
      </c>
      <c r="D77">
        <f t="shared" si="16"/>
        <v>1.1285290868490232</v>
      </c>
      <c r="E77">
        <f t="shared" si="17"/>
        <v>2.4827639910678516</v>
      </c>
      <c r="F77">
        <f t="shared" si="18"/>
        <v>2.2000000000000006</v>
      </c>
      <c r="G77">
        <f t="shared" si="19"/>
        <v>0.89500709118759647</v>
      </c>
    </row>
    <row r="78" spans="1:7" x14ac:dyDescent="0.25">
      <c r="A78">
        <f t="shared" si="20"/>
        <v>1540</v>
      </c>
      <c r="B78">
        <f t="shared" si="14"/>
        <v>0.47656604143690912</v>
      </c>
      <c r="C78">
        <f t="shared" si="15"/>
        <v>27.305222833591596</v>
      </c>
      <c r="D78">
        <f t="shared" si="16"/>
        <v>1.1253968734280195</v>
      </c>
      <c r="E78">
        <f t="shared" si="17"/>
        <v>2.4758731215416434</v>
      </c>
      <c r="F78">
        <f t="shared" si="18"/>
        <v>2.2000000000000002</v>
      </c>
      <c r="G78">
        <f t="shared" si="19"/>
        <v>0.8925230141216357</v>
      </c>
    </row>
    <row r="79" spans="1:7" x14ac:dyDescent="0.25">
      <c r="A79">
        <f t="shared" si="20"/>
        <v>1560</v>
      </c>
      <c r="B79">
        <f t="shared" si="14"/>
        <v>0.47132609751268306</v>
      </c>
      <c r="C79">
        <f t="shared" si="15"/>
        <v>27.004996161848229</v>
      </c>
      <c r="D79">
        <f t="shared" si="16"/>
        <v>1.1223761094662585</v>
      </c>
      <c r="E79">
        <f t="shared" si="17"/>
        <v>2.4692274408257693</v>
      </c>
      <c r="F79">
        <f t="shared" si="18"/>
        <v>2.2000000000000006</v>
      </c>
      <c r="G79">
        <f t="shared" si="19"/>
        <v>0.89012732472551326</v>
      </c>
    </row>
    <row r="80" spans="1:7" x14ac:dyDescent="0.25">
      <c r="A80">
        <f t="shared" si="20"/>
        <v>1580</v>
      </c>
      <c r="B80">
        <f t="shared" si="14"/>
        <v>0.46619173316817192</v>
      </c>
      <c r="C80">
        <f t="shared" si="15"/>
        <v>26.710818754425286</v>
      </c>
      <c r="D80">
        <f t="shared" si="16"/>
        <v>1.119461634807188</v>
      </c>
      <c r="E80">
        <f t="shared" si="17"/>
        <v>2.4628155965758136</v>
      </c>
      <c r="F80">
        <f t="shared" si="18"/>
        <v>2.2000000000000002</v>
      </c>
      <c r="G80">
        <f t="shared" si="19"/>
        <v>0.88781593061316644</v>
      </c>
    </row>
    <row r="81" spans="1:7" x14ac:dyDescent="0.25">
      <c r="A81">
        <f t="shared" si="20"/>
        <v>1600</v>
      </c>
      <c r="B81">
        <f t="shared" si="14"/>
        <v>0.46116005194271542</v>
      </c>
      <c r="C81">
        <f t="shared" si="15"/>
        <v>26.422524656351413</v>
      </c>
      <c r="D81">
        <f t="shared" si="16"/>
        <v>1.1166485815275646</v>
      </c>
      <c r="E81">
        <f t="shared" si="17"/>
        <v>2.4566268793606425</v>
      </c>
      <c r="F81">
        <f t="shared" si="18"/>
        <v>2.2000000000000002</v>
      </c>
      <c r="G81">
        <f t="shared" si="19"/>
        <v>0.88558497116117663</v>
      </c>
    </row>
    <row r="82" spans="1:7" x14ac:dyDescent="0.25">
      <c r="A82">
        <f t="shared" si="20"/>
        <v>1620</v>
      </c>
      <c r="B82">
        <f t="shared" si="14"/>
        <v>0.45622825126774524</v>
      </c>
      <c r="C82">
        <f t="shared" si="15"/>
        <v>26.139953292275852</v>
      </c>
      <c r="D82">
        <f t="shared" si="16"/>
        <v>1.1139323544513706</v>
      </c>
      <c r="E82">
        <f t="shared" si="17"/>
        <v>2.4506511797930157</v>
      </c>
      <c r="F82">
        <f t="shared" si="18"/>
        <v>2.2000000000000002</v>
      </c>
      <c r="G82">
        <f t="shared" si="19"/>
        <v>0.88343080205486046</v>
      </c>
    </row>
    <row r="83" spans="1:7" x14ac:dyDescent="0.25">
      <c r="A83">
        <f t="shared" si="20"/>
        <v>1640</v>
      </c>
      <c r="B83">
        <f t="shared" si="14"/>
        <v>0.45139361929457422</v>
      </c>
      <c r="C83">
        <f t="shared" si="15"/>
        <v>25.862949284714148</v>
      </c>
      <c r="D83">
        <f t="shared" si="16"/>
        <v>1.1113086131551553</v>
      </c>
      <c r="E83">
        <f t="shared" si="17"/>
        <v>2.4448789489413421</v>
      </c>
      <c r="F83">
        <f t="shared" si="18"/>
        <v>2.2000000000000002</v>
      </c>
      <c r="G83">
        <f t="shared" si="19"/>
        <v>0.88134998101717588</v>
      </c>
    </row>
    <row r="84" spans="1:7" x14ac:dyDescent="0.25">
      <c r="A84">
        <f t="shared" si="20"/>
        <v>1660</v>
      </c>
      <c r="B84">
        <f t="shared" si="14"/>
        <v>0.44665353180842854</v>
      </c>
      <c r="C84">
        <f t="shared" si="15"/>
        <v>25.591362277235223</v>
      </c>
      <c r="D84">
        <f t="shared" si="16"/>
        <v>1.1087732553360967</v>
      </c>
      <c r="E84">
        <f t="shared" si="17"/>
        <v>2.4393011617394129</v>
      </c>
      <c r="F84">
        <f t="shared" si="18"/>
        <v>2.2000000000000002</v>
      </c>
      <c r="G84">
        <f t="shared" si="19"/>
        <v>0.87933925461836304</v>
      </c>
    </row>
    <row r="85" spans="1:7" x14ac:dyDescent="0.25">
      <c r="A85">
        <f t="shared" si="20"/>
        <v>1680</v>
      </c>
      <c r="B85">
        <f t="shared" si="14"/>
        <v>0.44200544922980772</v>
      </c>
      <c r="C85">
        <f t="shared" si="15"/>
        <v>25.325046762651969</v>
      </c>
      <c r="D85">
        <f t="shared" si="16"/>
        <v>1.1063224014264463</v>
      </c>
      <c r="E85">
        <f t="shared" si="17"/>
        <v>2.4339092831381821</v>
      </c>
      <c r="F85">
        <f t="shared" si="18"/>
        <v>2.2000000000000002</v>
      </c>
      <c r="G85">
        <f t="shared" si="19"/>
        <v>0.87739554607406089</v>
      </c>
    </row>
    <row r="86" spans="1:7" x14ac:dyDescent="0.25">
      <c r="A86">
        <f t="shared" si="20"/>
        <v>1700</v>
      </c>
      <c r="B86">
        <f t="shared" si="14"/>
        <v>0.43744691370369521</v>
      </c>
      <c r="C86">
        <f t="shared" si="15"/>
        <v>25.063861916245273</v>
      </c>
      <c r="D86">
        <f t="shared" si="16"/>
        <v>1.1039523803490614</v>
      </c>
      <c r="E86">
        <f t="shared" si="17"/>
        <v>2.4286952367679353</v>
      </c>
      <c r="F86">
        <f t="shared" si="18"/>
        <v>2.2000000000000002</v>
      </c>
      <c r="G86">
        <f t="shared" si="19"/>
        <v>0.87551594394838939</v>
      </c>
    </row>
    <row r="87" spans="1:7" x14ac:dyDescent="0.25">
      <c r="A87">
        <f t="shared" si="20"/>
        <v>1720</v>
      </c>
      <c r="B87">
        <f t="shared" si="14"/>
        <v>0.43297554627665985</v>
      </c>
      <c r="C87">
        <f t="shared" si="15"/>
        <v>24.807671434023877</v>
      </c>
      <c r="D87">
        <f t="shared" si="16"/>
        <v>1.1016597163186281</v>
      </c>
      <c r="E87">
        <f t="shared" si="17"/>
        <v>2.4236513759009823</v>
      </c>
      <c r="F87">
        <f t="shared" si="18"/>
        <v>2.2000000000000006</v>
      </c>
      <c r="G87">
        <f t="shared" si="19"/>
        <v>0.87369769168634293</v>
      </c>
    </row>
    <row r="88" spans="1:7" x14ac:dyDescent="0.25">
      <c r="A88">
        <f t="shared" si="20"/>
        <v>1740</v>
      </c>
      <c r="B88">
        <f t="shared" si="14"/>
        <v>0.42858904416147559</v>
      </c>
      <c r="C88">
        <f t="shared" si="15"/>
        <v>24.556343375998608</v>
      </c>
      <c r="D88">
        <f t="shared" si="16"/>
        <v>1.0994411166020521</v>
      </c>
      <c r="E88">
        <f t="shared" si="17"/>
        <v>2.4187704565245149</v>
      </c>
      <c r="F88">
        <f t="shared" si="18"/>
        <v>2.2000000000000002</v>
      </c>
      <c r="G88">
        <f t="shared" si="19"/>
        <v>0.871938177906874</v>
      </c>
    </row>
    <row r="89" spans="1:7" x14ac:dyDescent="0.25">
      <c r="A89">
        <f t="shared" si="20"/>
        <v>1760</v>
      </c>
      <c r="B89">
        <f t="shared" si="14"/>
        <v>0.42428517808853722</v>
      </c>
      <c r="C89">
        <f t="shared" si="15"/>
        <v>24.309750014429696</v>
      </c>
      <c r="D89">
        <f t="shared" si="16"/>
        <v>1.0972934601594488</v>
      </c>
      <c r="E89">
        <f t="shared" si="17"/>
        <v>2.4140456123507876</v>
      </c>
      <c r="F89">
        <f t="shared" si="18"/>
        <v>2.2000000000000002</v>
      </c>
      <c r="G89">
        <f t="shared" si="19"/>
        <v>0.87023492739435804</v>
      </c>
    </row>
    <row r="90" spans="1:7" x14ac:dyDescent="0.25">
      <c r="A90">
        <f t="shared" si="20"/>
        <v>1780</v>
      </c>
      <c r="B90">
        <f t="shared" si="14"/>
        <v>0.42006178974305214</v>
      </c>
      <c r="C90">
        <f t="shared" si="15"/>
        <v>24.067767686988663</v>
      </c>
      <c r="D90">
        <f t="shared" si="16"/>
        <v>1.095213787094329</v>
      </c>
      <c r="E90">
        <f t="shared" si="17"/>
        <v>2.4094703316075243</v>
      </c>
      <c r="F90">
        <f t="shared" si="18"/>
        <v>2.2000000000000006</v>
      </c>
      <c r="G90">
        <f t="shared" si="19"/>
        <v>0.86858559273180991</v>
      </c>
    </row>
    <row r="91" spans="1:7" x14ac:dyDescent="0.25">
      <c r="A91">
        <f t="shared" si="20"/>
        <v>1800</v>
      </c>
      <c r="B91">
        <f t="shared" si="14"/>
        <v>0.41591678928674325</v>
      </c>
      <c r="C91">
        <f t="shared" si="15"/>
        <v>23.830276654762361</v>
      </c>
      <c r="D91">
        <f t="shared" si="16"/>
        <v>1.0931992888480102</v>
      </c>
      <c r="E91">
        <f t="shared" si="17"/>
        <v>2.4050384354656225</v>
      </c>
      <c r="F91">
        <f t="shared" si="18"/>
        <v>2.2000000000000002</v>
      </c>
      <c r="G91">
        <f t="shared" si="19"/>
        <v>0.8669879465243252</v>
      </c>
    </row>
    <row r="92" spans="1:7" x14ac:dyDescent="0.25">
      <c r="A92">
        <f t="shared" si="20"/>
        <v>1820</v>
      </c>
      <c r="B92">
        <f t="shared" si="14"/>
        <v>0.41184815296258892</v>
      </c>
      <c r="C92">
        <f t="shared" si="15"/>
        <v>23.597160965014695</v>
      </c>
      <c r="D92">
        <f t="shared" si="16"/>
        <v>1.0912472990790816</v>
      </c>
      <c r="E92">
        <f t="shared" si="17"/>
        <v>2.4007440579739798</v>
      </c>
      <c r="F92">
        <f t="shared" si="18"/>
        <v>2.2000000000000002</v>
      </c>
      <c r="G92">
        <f t="shared" si="19"/>
        <v>0.86543987416582302</v>
      </c>
    </row>
    <row r="93" spans="1:7" x14ac:dyDescent="0.25">
      <c r="A93">
        <f t="shared" si="20"/>
        <v>1840</v>
      </c>
      <c r="B93">
        <f t="shared" si="14"/>
        <v>0.40785392078096155</v>
      </c>
      <c r="C93">
        <f t="shared" si="15"/>
        <v>23.368308318612119</v>
      </c>
      <c r="D93">
        <f t="shared" si="16"/>
        <v>1.0893552851739878</v>
      </c>
      <c r="E93">
        <f t="shared" si="17"/>
        <v>2.3965816273827736</v>
      </c>
      <c r="F93">
        <f t="shared" si="18"/>
        <v>2.2000000000000002</v>
      </c>
      <c r="G93">
        <f t="shared" si="19"/>
        <v>0.86393936710630848</v>
      </c>
    </row>
    <row r="94" spans="1:7" x14ac:dyDescent="0.25">
      <c r="A94">
        <f t="shared" si="20"/>
        <v>1860</v>
      </c>
      <c r="B94">
        <f t="shared" si="14"/>
        <v>0.40393219428538768</v>
      </c>
      <c r="C94">
        <f t="shared" si="15"/>
        <v>23.143609942011103</v>
      </c>
      <c r="D94">
        <f t="shared" si="16"/>
        <v>1.0875208403395096</v>
      </c>
      <c r="E94">
        <f t="shared" si="17"/>
        <v>2.3925458487469209</v>
      </c>
      <c r="F94">
        <f t="shared" si="18"/>
        <v>2.1999999999999997</v>
      </c>
      <c r="G94">
        <f t="shared" si="19"/>
        <v>0.86248451658062564</v>
      </c>
    </row>
    <row r="95" spans="1:7" x14ac:dyDescent="0.25">
      <c r="A95">
        <f t="shared" si="20"/>
        <v>1880</v>
      </c>
      <c r="B95">
        <f t="shared" si="14"/>
        <v>0.40008113439604676</v>
      </c>
      <c r="C95">
        <f t="shared" si="15"/>
        <v>22.922960463699749</v>
      </c>
      <c r="D95">
        <f t="shared" si="16"/>
        <v>1.0857416762321899</v>
      </c>
      <c r="E95">
        <f t="shared" si="17"/>
        <v>2.3886316877108178</v>
      </c>
      <c r="F95">
        <f t="shared" si="18"/>
        <v>2.2000000000000002</v>
      </c>
      <c r="G95">
        <f t="shared" si="19"/>
        <v>0.86107350776304747</v>
      </c>
    </row>
    <row r="96" spans="1:7" x14ac:dyDescent="0.25">
      <c r="A96">
        <f t="shared" si="20"/>
        <v>1900</v>
      </c>
      <c r="B96">
        <f t="shared" si="14"/>
        <v>0.39629895932904341</v>
      </c>
      <c r="C96">
        <f t="shared" si="15"/>
        <v>22.706257794980854</v>
      </c>
      <c r="D96">
        <f t="shared" si="16"/>
        <v>1.0840156160836181</v>
      </c>
      <c r="E96">
        <f t="shared" si="17"/>
        <v>2.3848343553839597</v>
      </c>
      <c r="F96">
        <f t="shared" si="18"/>
        <v>2.2000000000000002</v>
      </c>
      <c r="G96">
        <f t="shared" si="19"/>
        <v>0.85970461431511558</v>
      </c>
    </row>
    <row r="97" spans="1:7" x14ac:dyDescent="0.25">
      <c r="A97">
        <f t="shared" si="20"/>
        <v>1920</v>
      </c>
      <c r="B97">
        <f t="shared" si="14"/>
        <v>0.39258394258942625</v>
      </c>
      <c r="C97">
        <f t="shared" si="15"/>
        <v>22.493403014980334</v>
      </c>
      <c r="D97">
        <f t="shared" si="16"/>
        <v>1.0823405882839701</v>
      </c>
      <c r="E97">
        <f t="shared" si="17"/>
        <v>2.3811492942247345</v>
      </c>
      <c r="F97">
        <f t="shared" si="18"/>
        <v>2.2000000000000002</v>
      </c>
      <c r="G97">
        <f t="shared" si="19"/>
        <v>0.85837619329691484</v>
      </c>
    </row>
    <row r="98" spans="1:7" x14ac:dyDescent="0.25">
      <c r="A98">
        <f t="shared" si="20"/>
        <v>1940</v>
      </c>
      <c r="B98">
        <f t="shared" si="14"/>
        <v>0.388934411035885</v>
      </c>
      <c r="C98">
        <f t="shared" si="15"/>
        <v>22.284300259762599</v>
      </c>
      <c r="D98">
        <f t="shared" si="16"/>
        <v>1.0807146203893816</v>
      </c>
      <c r="E98">
        <f t="shared" si="17"/>
        <v>2.3775721648566397</v>
      </c>
      <c r="F98">
        <f t="shared" si="18"/>
        <v>2.2000000000000002</v>
      </c>
      <c r="G98">
        <f t="shared" si="19"/>
        <v>0.85708668041447478</v>
      </c>
    </row>
    <row r="99" spans="1:7" x14ac:dyDescent="0.25">
      <c r="A99">
        <f t="shared" si="20"/>
        <v>1960</v>
      </c>
      <c r="B99">
        <f t="shared" si="14"/>
        <v>0.38534874301503097</v>
      </c>
      <c r="C99">
        <f t="shared" si="15"/>
        <v>22.078856615432635</v>
      </c>
      <c r="D99">
        <f t="shared" si="16"/>
        <v>1.079135833521597</v>
      </c>
      <c r="E99">
        <f t="shared" si="17"/>
        <v>2.3740988337475137</v>
      </c>
      <c r="F99">
        <f t="shared" si="18"/>
        <v>2.2000000000000002</v>
      </c>
      <c r="G99">
        <f t="shared" si="19"/>
        <v>0.85583458557827852</v>
      </c>
    </row>
    <row r="100" spans="1:7" x14ac:dyDescent="0.25">
      <c r="A100">
        <f t="shared" si="20"/>
        <v>1980</v>
      </c>
      <c r="B100">
        <f t="shared" si="14"/>
        <v>0.38182536656315508</v>
      </c>
      <c r="C100">
        <f t="shared" si="15"/>
        <v>21.876982015104367</v>
      </c>
      <c r="D100">
        <f t="shared" si="16"/>
        <v>1.0776024371309554</v>
      </c>
      <c r="E100">
        <f t="shared" si="17"/>
        <v>2.3707253616881019</v>
      </c>
      <c r="F100">
        <f t="shared" si="18"/>
        <v>2.2000000000000002</v>
      </c>
      <c r="G100">
        <f t="shared" si="19"/>
        <v>0.85461848874992141</v>
      </c>
    </row>
    <row r="101" spans="1:7" x14ac:dyDescent="0.25">
      <c r="A101">
        <f t="shared" si="20"/>
        <v>2000</v>
      </c>
      <c r="B101">
        <f t="shared" si="14"/>
        <v>0.37836275767335503</v>
      </c>
      <c r="C101">
        <f t="shared" si="15"/>
        <v>21.678589139614346</v>
      </c>
      <c r="D101">
        <f t="shared" si="16"/>
        <v>1.0761127240961397</v>
      </c>
      <c r="E101">
        <f t="shared" si="17"/>
        <v>2.3674479930115071</v>
      </c>
      <c r="F101">
        <f t="shared" si="18"/>
        <v>2.1999999999999997</v>
      </c>
      <c r="G101">
        <f t="shared" si="19"/>
        <v>0.85343703605585086</v>
      </c>
    </row>
    <row r="102" spans="1:7" x14ac:dyDescent="0.25">
      <c r="A102">
        <f t="shared" si="20"/>
        <v>2020</v>
      </c>
      <c r="B102">
        <f t="shared" si="14"/>
        <v>0.37495943862593595</v>
      </c>
      <c r="C102">
        <f t="shared" si="15"/>
        <v>21.483593321860752</v>
      </c>
      <c r="D102">
        <f t="shared" si="16"/>
        <v>1.0746650661362835</v>
      </c>
      <c r="E102">
        <f t="shared" si="17"/>
        <v>2.364263145499824</v>
      </c>
      <c r="F102">
        <f t="shared" si="18"/>
        <v>2.2000000000000002</v>
      </c>
      <c r="G102">
        <f t="shared" si="19"/>
        <v>0.85228893614882684</v>
      </c>
    </row>
    <row r="103" spans="1:7" x14ac:dyDescent="0.25">
      <c r="A103">
        <f t="shared" si="20"/>
        <v>2040</v>
      </c>
      <c r="B103">
        <f t="shared" si="14"/>
        <v>0.37161397638000526</v>
      </c>
      <c r="C103">
        <f t="shared" si="15"/>
        <v>21.291912454648564</v>
      </c>
      <c r="D103">
        <f t="shared" si="16"/>
        <v>1.0732579095129899</v>
      </c>
      <c r="E103">
        <f t="shared" si="17"/>
        <v>2.3611674009285784</v>
      </c>
      <c r="F103">
        <f t="shared" si="18"/>
        <v>2.2000000000000006</v>
      </c>
      <c r="G103">
        <f t="shared" si="19"/>
        <v>0.85117295679930405</v>
      </c>
    </row>
    <row r="104" spans="1:7" x14ac:dyDescent="0.25">
      <c r="A104">
        <f t="shared" si="20"/>
        <v>2060</v>
      </c>
      <c r="B104">
        <f t="shared" si="14"/>
        <v>0.3683249810242088</v>
      </c>
      <c r="C104">
        <f t="shared" si="15"/>
        <v>21.103466901923298</v>
      </c>
      <c r="D104">
        <f t="shared" si="16"/>
        <v>1.0718897710016086</v>
      </c>
      <c r="E104">
        <f t="shared" si="17"/>
        <v>2.3581574962035394</v>
      </c>
      <c r="F104">
        <f t="shared" si="18"/>
        <v>2.2000000000000002</v>
      </c>
      <c r="G104">
        <f t="shared" si="19"/>
        <v>0.85008792170035763</v>
      </c>
    </row>
    <row r="105" spans="1:7" x14ac:dyDescent="0.25">
      <c r="A105">
        <f t="shared" si="20"/>
        <v>2080</v>
      </c>
      <c r="B105">
        <f t="shared" si="14"/>
        <v>0.36509110428458713</v>
      </c>
      <c r="C105">
        <f t="shared" si="15"/>
        <v>20.91817941327745</v>
      </c>
      <c r="D105">
        <f t="shared" si="16"/>
        <v>1.0705592341127583</v>
      </c>
      <c r="E105">
        <f t="shared" si="17"/>
        <v>2.3552303150480687</v>
      </c>
      <c r="F105">
        <f t="shared" si="18"/>
        <v>2.2000000000000002</v>
      </c>
      <c r="G105">
        <f t="shared" si="19"/>
        <v>0.84903270747107029</v>
      </c>
    </row>
    <row r="106" spans="1:7" x14ac:dyDescent="0.25">
      <c r="A106">
        <f t="shared" si="20"/>
        <v>2100</v>
      </c>
      <c r="B106">
        <f t="shared" si="14"/>
        <v>0.36191103808756803</v>
      </c>
      <c r="C106">
        <f t="shared" si="15"/>
        <v>20.735975041616037</v>
      </c>
      <c r="D106">
        <f t="shared" si="16"/>
        <v>1.0692649455465688</v>
      </c>
      <c r="E106">
        <f t="shared" si="17"/>
        <v>2.3523828802024513</v>
      </c>
      <c r="F106">
        <f t="shared" si="18"/>
        <v>2.2000000000000002</v>
      </c>
      <c r="G106">
        <f t="shared" si="19"/>
        <v>0.84800624084448373</v>
      </c>
    </row>
    <row r="107" spans="1:7" x14ac:dyDescent="0.25">
      <c r="A107">
        <f t="shared" si="20"/>
        <v>2120</v>
      </c>
      <c r="B107">
        <f t="shared" si="14"/>
        <v>0.35878351317615043</v>
      </c>
      <c r="C107">
        <f t="shared" si="15"/>
        <v>20.556781063869781</v>
      </c>
      <c r="D107">
        <f t="shared" si="16"/>
        <v>1.0680056118634811</v>
      </c>
      <c r="E107">
        <f t="shared" si="17"/>
        <v>2.3496123460996587</v>
      </c>
      <c r="F107">
        <f t="shared" si="18"/>
        <v>2.2000000000000002</v>
      </c>
      <c r="G107">
        <f t="shared" si="19"/>
        <v>0.84700749602729719</v>
      </c>
    </row>
    <row r="108" spans="1:7" x14ac:dyDescent="0.25">
      <c r="A108">
        <f t="shared" si="20"/>
        <v>2140</v>
      </c>
      <c r="B108">
        <f t="shared" si="14"/>
        <v>0.35570729777738164</v>
      </c>
      <c r="C108">
        <f t="shared" si="15"/>
        <v>20.380526904647173</v>
      </c>
      <c r="D108">
        <f t="shared" si="16"/>
        <v>1.0667799963566957</v>
      </c>
      <c r="E108">
        <f t="shared" si="17"/>
        <v>2.3469159919847309</v>
      </c>
      <c r="F108">
        <f t="shared" si="18"/>
        <v>2.2000000000000002</v>
      </c>
      <c r="G108">
        <f t="shared" si="19"/>
        <v>0.84603549221948637</v>
      </c>
    </row>
    <row r="109" spans="1:7" x14ac:dyDescent="0.25">
      <c r="A109">
        <f t="shared" si="20"/>
        <v>2160</v>
      </c>
      <c r="B109">
        <f t="shared" si="14"/>
        <v>0.35268119631927264</v>
      </c>
      <c r="C109">
        <f t="shared" si="15"/>
        <v>20.207144062719149</v>
      </c>
      <c r="D109">
        <f t="shared" si="16"/>
        <v>1.065586916112494</v>
      </c>
      <c r="E109">
        <f t="shared" si="17"/>
        <v>2.3442912154474871</v>
      </c>
      <c r="F109">
        <f t="shared" si="18"/>
        <v>2.2000000000000002</v>
      </c>
      <c r="G109">
        <f t="shared" si="19"/>
        <v>0.84508929128292232</v>
      </c>
    </row>
    <row r="110" spans="1:7" x14ac:dyDescent="0.25">
      <c r="A110">
        <f t="shared" si="20"/>
        <v>2180</v>
      </c>
      <c r="B110">
        <f t="shared" si="14"/>
        <v>0.34970404819534906</v>
      </c>
      <c r="C110">
        <f t="shared" si="15"/>
        <v>20.036566040233033</v>
      </c>
      <c r="D110">
        <f t="shared" si="16"/>
        <v>1.0644252392457079</v>
      </c>
      <c r="E110">
        <f t="shared" si="17"/>
        <v>2.3417355263405577</v>
      </c>
      <c r="F110">
        <f t="shared" si="18"/>
        <v>2.2000000000000002</v>
      </c>
      <c r="G110">
        <f t="shared" si="19"/>
        <v>0.84416799554889288</v>
      </c>
    </row>
    <row r="111" spans="1:7" x14ac:dyDescent="0.25">
      <c r="A111">
        <f t="shared" si="20"/>
        <v>2200</v>
      </c>
      <c r="B111">
        <f t="shared" si="14"/>
        <v>0.34677472657508113</v>
      </c>
      <c r="C111">
        <f t="shared" si="15"/>
        <v>19.868728274555259</v>
      </c>
      <c r="D111">
        <f t="shared" si="16"/>
        <v>1.06329388229857</v>
      </c>
      <c r="E111">
        <f t="shared" si="17"/>
        <v>2.3392465410568541</v>
      </c>
      <c r="F111">
        <f t="shared" si="18"/>
        <v>2.2000000000000002</v>
      </c>
      <c r="G111">
        <f t="shared" si="19"/>
        <v>0.843270745755199</v>
      </c>
    </row>
    <row r="112" spans="1:7" x14ac:dyDescent="0.25">
      <c r="A112">
        <f t="shared" si="20"/>
        <v>2220</v>
      </c>
      <c r="B112">
        <f t="shared" si="14"/>
        <v>0.34389213725849038</v>
      </c>
      <c r="C112">
        <f t="shared" si="15"/>
        <v>19.703568072645108</v>
      </c>
      <c r="D112">
        <f t="shared" si="16"/>
        <v>1.062191807792054</v>
      </c>
      <c r="E112">
        <f t="shared" si="17"/>
        <v>2.3368219771425189</v>
      </c>
      <c r="F112">
        <f t="shared" si="18"/>
        <v>2.2000000000000002</v>
      </c>
      <c r="G112">
        <f t="shared" si="19"/>
        <v>0.84239671910418645</v>
      </c>
    </row>
    <row r="113" spans="1:7" x14ac:dyDescent="0.25">
      <c r="A113">
        <f t="shared" si="20"/>
        <v>2240</v>
      </c>
      <c r="B113">
        <f t="shared" si="14"/>
        <v>0.34105521757327911</v>
      </c>
      <c r="C113">
        <f t="shared" si="15"/>
        <v>19.541024547864922</v>
      </c>
      <c r="D113">
        <f t="shared" si="16"/>
        <v>1.0611180219196228</v>
      </c>
      <c r="E113">
        <f t="shared" si="17"/>
        <v>2.3344596482231705</v>
      </c>
      <c r="F113">
        <f t="shared" si="18"/>
        <v>2.2000000000000002</v>
      </c>
      <c r="G113">
        <f t="shared" si="19"/>
        <v>0.84154512743371723</v>
      </c>
    </row>
    <row r="114" spans="1:7" x14ac:dyDescent="0.25">
      <c r="A114">
        <f t="shared" si="20"/>
        <v>2260</v>
      </c>
      <c r="B114">
        <f t="shared" si="14"/>
        <v>0.33826293531288332</v>
      </c>
      <c r="C114">
        <f t="shared" si="15"/>
        <v>19.381038559134989</v>
      </c>
      <c r="D114">
        <f t="shared" si="16"/>
        <v>1.0600715723740428</v>
      </c>
      <c r="E114">
        <f t="shared" si="17"/>
        <v>2.3321574592228944</v>
      </c>
      <c r="F114">
        <f t="shared" si="18"/>
        <v>2.2000000000000002</v>
      </c>
      <c r="G114">
        <f t="shared" si="19"/>
        <v>0.84071521549367212</v>
      </c>
    </row>
    <row r="115" spans="1:7" x14ac:dyDescent="0.25">
      <c r="A115">
        <f t="shared" si="20"/>
        <v>2280</v>
      </c>
      <c r="B115">
        <f t="shared" si="14"/>
        <v>0.33551428771389902</v>
      </c>
      <c r="C115">
        <f t="shared" si="15"/>
        <v>19.223552652344424</v>
      </c>
      <c r="D115">
        <f t="shared" si="16"/>
        <v>1.0590515462986032</v>
      </c>
      <c r="E115">
        <f t="shared" si="17"/>
        <v>2.3299134018569272</v>
      </c>
      <c r="F115">
        <f t="shared" si="18"/>
        <v>2.2000000000000002</v>
      </c>
      <c r="G115">
        <f t="shared" si="19"/>
        <v>0.83990625932111684</v>
      </c>
    </row>
    <row r="116" spans="1:7" x14ac:dyDescent="0.25">
      <c r="A116">
        <f t="shared" si="20"/>
        <v>2300</v>
      </c>
      <c r="B116">
        <f t="shared" si="14"/>
        <v>0.33280830047138421</v>
      </c>
      <c r="C116">
        <f t="shared" si="15"/>
        <v>19.06851100393208</v>
      </c>
      <c r="D116">
        <f t="shared" si="16"/>
        <v>1.0580570683547086</v>
      </c>
      <c r="E116">
        <f t="shared" si="17"/>
        <v>2.3277255503803591</v>
      </c>
      <c r="F116">
        <f t="shared" si="18"/>
        <v>2.2000000000000002</v>
      </c>
      <c r="G116">
        <f t="shared" si="19"/>
        <v>0.83911756470775911</v>
      </c>
    </row>
    <row r="117" spans="1:7" x14ac:dyDescent="0.25">
      <c r="A117">
        <f t="shared" si="20"/>
        <v>2320</v>
      </c>
      <c r="B117">
        <f t="shared" si="14"/>
        <v>0.33014402679058991</v>
      </c>
      <c r="C117">
        <f t="shared" si="15"/>
        <v>18.915859366554784</v>
      </c>
      <c r="D117">
        <f t="shared" si="16"/>
        <v>1.0570872988983842</v>
      </c>
      <c r="E117">
        <f t="shared" si="17"/>
        <v>2.3255920575764453</v>
      </c>
      <c r="F117">
        <f t="shared" si="18"/>
        <v>2.2000000000000002</v>
      </c>
      <c r="G117">
        <f t="shared" si="19"/>
        <v>0.83834846575378263</v>
      </c>
    </row>
    <row r="118" spans="1:7" x14ac:dyDescent="0.25">
      <c r="A118">
        <f t="shared" si="20"/>
        <v>2340</v>
      </c>
      <c r="B118">
        <f t="shared" si="14"/>
        <v>0.32752054647372286</v>
      </c>
      <c r="C118">
        <f t="shared" si="15"/>
        <v>18.765545016762658</v>
      </c>
      <c r="D118">
        <f t="shared" si="16"/>
        <v>1.0561414322587703</v>
      </c>
      <c r="E118">
        <f t="shared" si="17"/>
        <v>2.3235111509692947</v>
      </c>
      <c r="F118">
        <f t="shared" si="18"/>
        <v>2.2000000000000002</v>
      </c>
      <c r="G118">
        <f t="shared" si="19"/>
        <v>0.83759832350256624</v>
      </c>
    </row>
    <row r="119" spans="1:7" x14ac:dyDescent="0.25">
      <c r="A119">
        <f t="shared" si="20"/>
        <v>2360</v>
      </c>
      <c r="B119">
        <f t="shared" si="14"/>
        <v>0.32493696504039205</v>
      </c>
      <c r="C119">
        <f t="shared" si="15"/>
        <v>18.617516704604441</v>
      </c>
      <c r="D119">
        <f t="shared" si="16"/>
        <v>1.0552186951121698</v>
      </c>
      <c r="E119">
        <f t="shared" si="17"/>
        <v>2.3214811292467736</v>
      </c>
      <c r="F119">
        <f t="shared" si="18"/>
        <v>2.2000000000000002</v>
      </c>
      <c r="G119">
        <f t="shared" si="19"/>
        <v>0.83686652465118216</v>
      </c>
    </row>
    <row r="120" spans="1:7" x14ac:dyDescent="0.25">
      <c r="A120">
        <f t="shared" si="20"/>
        <v>2380</v>
      </c>
      <c r="B120">
        <f t="shared" si="14"/>
        <v>0.32239241288044035</v>
      </c>
      <c r="C120">
        <f t="shared" si="15"/>
        <v>18.471724605088312</v>
      </c>
      <c r="D120">
        <f t="shared" si="16"/>
        <v>1.0543183449456612</v>
      </c>
      <c r="E120">
        <f t="shared" si="17"/>
        <v>2.3195003588804552</v>
      </c>
      <c r="F120">
        <f t="shared" si="18"/>
        <v>2.2000000000000006</v>
      </c>
      <c r="G120">
        <f t="shared" si="19"/>
        <v>0.83615248033192857</v>
      </c>
    </row>
    <row r="121" spans="1:7" x14ac:dyDescent="0.25">
      <c r="A121">
        <f t="shared" si="20"/>
        <v>2400</v>
      </c>
      <c r="B121">
        <f t="shared" si="14"/>
        <v>0.31988604443790891</v>
      </c>
      <c r="C121">
        <f t="shared" si="15"/>
        <v>18.328120271426481</v>
      </c>
      <c r="D121">
        <f t="shared" si="16"/>
        <v>1.0534396686047141</v>
      </c>
      <c r="E121">
        <f t="shared" si="17"/>
        <v>2.317567270930371</v>
      </c>
      <c r="F121">
        <f t="shared" si="18"/>
        <v>2.2000000000000002</v>
      </c>
      <c r="G121">
        <f t="shared" si="19"/>
        <v>0.83545562496047998</v>
      </c>
    </row>
    <row r="122" spans="1:7" x14ac:dyDescent="0.25">
      <c r="A122">
        <f t="shared" si="20"/>
        <v>2420</v>
      </c>
      <c r="B122">
        <f t="shared" si="14"/>
        <v>0.31741703742492788</v>
      </c>
      <c r="C122">
        <f t="shared" si="15"/>
        <v>18.186656589994467</v>
      </c>
      <c r="D122">
        <f t="shared" si="16"/>
        <v>1.0525819809196173</v>
      </c>
      <c r="E122">
        <f t="shared" si="17"/>
        <v>2.3156803580231582</v>
      </c>
      <c r="F122">
        <f t="shared" si="18"/>
        <v>2.2000000000000002</v>
      </c>
      <c r="G122">
        <f t="shared" si="19"/>
        <v>0.83477541514654496</v>
      </c>
    </row>
    <row r="123" spans="1:7" x14ac:dyDescent="0.25">
      <c r="A123">
        <f t="shared" si="20"/>
        <v>2440</v>
      </c>
      <c r="B123">
        <f t="shared" si="14"/>
        <v>0.31498459206437329</v>
      </c>
      <c r="C123">
        <f t="shared" si="15"/>
        <v>18.047287736938511</v>
      </c>
      <c r="D123">
        <f t="shared" si="16"/>
        <v>1.0517446234058998</v>
      </c>
      <c r="E123">
        <f t="shared" si="17"/>
        <v>2.3138381714929799</v>
      </c>
      <c r="F123">
        <f t="shared" si="18"/>
        <v>2.2000000000000002</v>
      </c>
      <c r="G123">
        <f t="shared" si="19"/>
        <v>0.83411132866320159</v>
      </c>
    </row>
    <row r="124" spans="1:7" x14ac:dyDescent="0.25">
      <c r="A124">
        <f t="shared" si="20"/>
        <v>2460</v>
      </c>
      <c r="B124">
        <f t="shared" si="14"/>
        <v>0.31258793036017257</v>
      </c>
      <c r="C124">
        <f t="shared" si="15"/>
        <v>17.909969136367181</v>
      </c>
      <c r="D124">
        <f t="shared" si="16"/>
        <v>1.0509269630342399</v>
      </c>
      <c r="E124">
        <f t="shared" si="17"/>
        <v>2.3120393186753283</v>
      </c>
      <c r="F124">
        <f t="shared" si="18"/>
        <v>2.2000000000000006</v>
      </c>
      <c r="G124">
        <f t="shared" si="19"/>
        <v>0.83346286347134557</v>
      </c>
    </row>
    <row r="125" spans="1:7" x14ac:dyDescent="0.25">
      <c r="A125">
        <f t="shared" si="20"/>
        <v>2480</v>
      </c>
      <c r="B125">
        <f t="shared" si="14"/>
        <v>0.31022629539418428</v>
      </c>
      <c r="C125">
        <f t="shared" si="15"/>
        <v>17.77465742006553</v>
      </c>
      <c r="D125">
        <f t="shared" si="16"/>
        <v>1.0501283910656705</v>
      </c>
      <c r="E125">
        <f t="shared" si="17"/>
        <v>2.3102824603444749</v>
      </c>
      <c r="F125">
        <f t="shared" si="18"/>
        <v>2.1999999999999997</v>
      </c>
      <c r="G125">
        <f t="shared" si="19"/>
        <v>0.83282953679592142</v>
      </c>
    </row>
    <row r="126" spans="1:7" x14ac:dyDescent="0.25">
      <c r="A126">
        <f t="shared" si="20"/>
        <v>2500</v>
      </c>
      <c r="B126">
        <f t="shared" si="14"/>
        <v>0.30789895064861816</v>
      </c>
      <c r="C126">
        <f t="shared" si="15"/>
        <v>17.641310388672643</v>
      </c>
      <c r="D126">
        <f t="shared" si="16"/>
        <v>1.0493483219481665</v>
      </c>
      <c r="E126">
        <f t="shared" si="17"/>
        <v>2.3085663082859669</v>
      </c>
      <c r="F126">
        <f t="shared" si="18"/>
        <v>2.2000000000000006</v>
      </c>
      <c r="G126">
        <f t="shared" si="19"/>
        <v>0.83221088425083589</v>
      </c>
    </row>
    <row r="127" spans="1:7" x14ac:dyDescent="0.25">
      <c r="A127">
        <f t="shared" si="20"/>
        <v>2520</v>
      </c>
      <c r="B127">
        <f t="shared" si="14"/>
        <v>0.30560517935300263</v>
      </c>
      <c r="C127">
        <f t="shared" si="15"/>
        <v>17.509886974265619</v>
      </c>
      <c r="D127">
        <f t="shared" si="16"/>
        <v>1.0485861922709663</v>
      </c>
      <c r="E127">
        <f t="shared" si="17"/>
        <v>2.3068896229961262</v>
      </c>
      <c r="F127">
        <f t="shared" si="18"/>
        <v>2.2000000000000002</v>
      </c>
      <c r="G127">
        <f t="shared" si="19"/>
        <v>0.83160645900965469</v>
      </c>
    </row>
    <row r="128" spans="1:7" x14ac:dyDescent="0.25">
      <c r="A128">
        <f t="shared" si="20"/>
        <v>2540</v>
      </c>
      <c r="B128">
        <f t="shared" si="14"/>
        <v>0.30334428385474477</v>
      </c>
      <c r="C128">
        <f t="shared" si="15"/>
        <v>17.380347204295315</v>
      </c>
      <c r="D128">
        <f t="shared" si="16"/>
        <v>1.0478414597732093</v>
      </c>
      <c r="E128">
        <f t="shared" si="17"/>
        <v>2.3052512115010608</v>
      </c>
      <c r="F128">
        <f t="shared" si="18"/>
        <v>2.2000000000000002</v>
      </c>
      <c r="G128">
        <f t="shared" si="19"/>
        <v>0.83101583101938159</v>
      </c>
    </row>
    <row r="129" spans="1:7" x14ac:dyDescent="0.25">
      <c r="A129">
        <f t="shared" si="20"/>
        <v>2560</v>
      </c>
      <c r="B129">
        <f t="shared" ref="B129:B192" si="21">ATAN($I$2^2/($I$3*A129))</f>
        <v>0.30111558501236479</v>
      </c>
      <c r="C129">
        <f t="shared" ref="C129:C192" si="22">B129*180/PI()</f>
        <v>17.25265216682125</v>
      </c>
      <c r="D129">
        <f t="shared" ref="D129:D192" si="23">_xlfn.SEC(B129)</f>
        <v>1.0471136024037104</v>
      </c>
      <c r="E129">
        <f t="shared" ref="E129:E192" si="24">$I$4/COS(B129)</f>
        <v>2.303649925288163</v>
      </c>
      <c r="F129">
        <f t="shared" ref="F129:F192" si="25">E129/D129</f>
        <v>2.2000000000000002</v>
      </c>
      <c r="G129">
        <f t="shared" ref="G129:G192" si="26">E129/(0.5*(0.86*10^-4)*$I$2^2*362.88/144)</f>
        <v>0.83043858625478839</v>
      </c>
    </row>
    <row r="130" spans="1:7" x14ac:dyDescent="0.25">
      <c r="A130">
        <f t="shared" si="20"/>
        <v>2580</v>
      </c>
      <c r="B130">
        <f t="shared" si="21"/>
        <v>0.2989184216105249</v>
      </c>
      <c r="C130">
        <f t="shared" si="22"/>
        <v>17.126763976995218</v>
      </c>
      <c r="D130">
        <f t="shared" si="23"/>
        <v>1.0464021174288889</v>
      </c>
      <c r="E130">
        <f t="shared" si="24"/>
        <v>2.3020846583435559</v>
      </c>
      <c r="F130">
        <f t="shared" si="25"/>
        <v>2.2000000000000002</v>
      </c>
      <c r="G130">
        <f t="shared" si="26"/>
        <v>0.82987432601093714</v>
      </c>
    </row>
    <row r="131" spans="1:7" x14ac:dyDescent="0.25">
      <c r="A131">
        <f t="shared" si="20"/>
        <v>2600</v>
      </c>
      <c r="B131">
        <f t="shared" si="21"/>
        <v>0.29675214979600445</v>
      </c>
      <c r="C131">
        <f t="shared" si="22"/>
        <v>17.002645744745049</v>
      </c>
      <c r="D131">
        <f t="shared" si="23"/>
        <v>1.0457065205860683</v>
      </c>
      <c r="E131">
        <f t="shared" si="24"/>
        <v>2.3005543452893504</v>
      </c>
      <c r="F131">
        <f t="shared" si="25"/>
        <v>2.2000000000000002</v>
      </c>
      <c r="G131">
        <f t="shared" si="26"/>
        <v>0.82932266623168371</v>
      </c>
    </row>
    <row r="132" spans="1:7" x14ac:dyDescent="0.25">
      <c r="A132">
        <f t="shared" ref="A132:A195" si="27">A131+20</f>
        <v>2620</v>
      </c>
      <c r="B132">
        <f t="shared" si="21"/>
        <v>0.29461614253381002</v>
      </c>
      <c r="C132">
        <f t="shared" si="22"/>
        <v>16.880261543612015</v>
      </c>
      <c r="D132">
        <f t="shared" si="23"/>
        <v>1.0450263452795392</v>
      </c>
      <c r="E132">
        <f t="shared" si="24"/>
        <v>2.2990579596149865</v>
      </c>
      <c r="F132">
        <f t="shared" si="25"/>
        <v>2.2000000000000002</v>
      </c>
      <c r="G132">
        <f t="shared" si="26"/>
        <v>0.82878323687209676</v>
      </c>
    </row>
    <row r="133" spans="1:7" x14ac:dyDescent="0.25">
      <c r="A133">
        <f t="shared" si="27"/>
        <v>2640</v>
      </c>
      <c r="B133">
        <f t="shared" si="21"/>
        <v>0.29250978908263914</v>
      </c>
      <c r="C133">
        <f t="shared" si="22"/>
        <v>16.759576380697109</v>
      </c>
      <c r="D133">
        <f t="shared" si="23"/>
        <v>1.0443611418169474</v>
      </c>
      <c r="E133">
        <f t="shared" si="24"/>
        <v>2.2975945119972843</v>
      </c>
      <c r="F133">
        <f t="shared" si="25"/>
        <v>2.2000000000000002</v>
      </c>
      <c r="G133">
        <f t="shared" si="26"/>
        <v>0.82825568129285632</v>
      </c>
    </row>
    <row r="134" spans="1:7" x14ac:dyDescent="0.25">
      <c r="A134">
        <f t="shared" si="27"/>
        <v>2660</v>
      </c>
      <c r="B134">
        <f t="shared" si="21"/>
        <v>0.29043249448894798</v>
      </c>
      <c r="C134">
        <f t="shared" si="22"/>
        <v>16.64055616767326</v>
      </c>
      <c r="D134">
        <f t="shared" si="23"/>
        <v>1.0437104766837211</v>
      </c>
      <c r="E134">
        <f t="shared" si="24"/>
        <v>2.2961630487041864</v>
      </c>
      <c r="F134">
        <f t="shared" si="25"/>
        <v>2.2000000000000002</v>
      </c>
      <c r="G134">
        <f t="shared" si="26"/>
        <v>0.82773965568482166</v>
      </c>
    </row>
    <row r="135" spans="1:7" x14ac:dyDescent="0.25">
      <c r="A135">
        <f t="shared" si="27"/>
        <v>2680</v>
      </c>
      <c r="B135">
        <f t="shared" si="21"/>
        <v>0.28838367909890483</v>
      </c>
      <c r="C135">
        <f t="shared" si="22"/>
        <v>16.523167692822337</v>
      </c>
      <c r="D135">
        <f t="shared" si="23"/>
        <v>1.0430739318533966</v>
      </c>
      <c r="E135">
        <f t="shared" si="24"/>
        <v>2.2947626500774727</v>
      </c>
      <c r="F135">
        <f t="shared" si="25"/>
        <v>2.2000000000000002</v>
      </c>
      <c r="G135">
        <f t="shared" si="26"/>
        <v>0.82723482852206787</v>
      </c>
    </row>
    <row r="136" spans="1:7" x14ac:dyDescent="0.25">
      <c r="A136">
        <f t="shared" si="27"/>
        <v>2700</v>
      </c>
      <c r="B136">
        <f t="shared" si="21"/>
        <v>0.28636277808753757</v>
      </c>
      <c r="C136">
        <f t="shared" si="22"/>
        <v>16.407378594057274</v>
      </c>
      <c r="D136">
        <f t="shared" si="23"/>
        <v>1.0424511041318374</v>
      </c>
      <c r="E136">
        <f t="shared" si="24"/>
        <v>2.2933924290900425</v>
      </c>
      <c r="F136">
        <f t="shared" si="25"/>
        <v>2.2000000000000002</v>
      </c>
      <c r="G136">
        <f t="shared" si="26"/>
        <v>0.82674088004180313</v>
      </c>
    </row>
    <row r="137" spans="1:7" x14ac:dyDescent="0.25">
      <c r="A137">
        <f t="shared" si="27"/>
        <v>2720</v>
      </c>
      <c r="B137">
        <f t="shared" si="21"/>
        <v>0.28436924100441391</v>
      </c>
      <c r="C137">
        <f t="shared" si="22"/>
        <v>16.293157332891468</v>
      </c>
      <c r="D137">
        <f t="shared" si="23"/>
        <v>1.0418416045334622</v>
      </c>
      <c r="E137">
        <f t="shared" si="24"/>
        <v>2.2920515299736168</v>
      </c>
      <c r="F137">
        <f t="shared" si="25"/>
        <v>2.2000000000000002</v>
      </c>
      <c r="G137">
        <f t="shared" si="26"/>
        <v>0.8262575017496715</v>
      </c>
    </row>
    <row r="138" spans="1:7" x14ac:dyDescent="0.25">
      <c r="A138">
        <f t="shared" si="27"/>
        <v>2740</v>
      </c>
      <c r="B138">
        <f t="shared" si="21"/>
        <v>0.28240253133521687</v>
      </c>
      <c r="C138">
        <f t="shared" si="22"/>
        <v>16.180473169318908</v>
      </c>
      <c r="D138">
        <f t="shared" si="23"/>
        <v>1.0412450576877181</v>
      </c>
      <c r="E138">
        <f t="shared" si="24"/>
        <v>2.2907391269129804</v>
      </c>
      <c r="F138">
        <f t="shared" si="25"/>
        <v>2.2000000000000006</v>
      </c>
      <c r="G138">
        <f t="shared" si="26"/>
        <v>0.82578439594904296</v>
      </c>
    </row>
    <row r="139" spans="1:7" x14ac:dyDescent="0.25">
      <c r="A139">
        <f t="shared" si="27"/>
        <v>2760</v>
      </c>
      <c r="B139">
        <f t="shared" si="21"/>
        <v>0.28046212607860643</v>
      </c>
      <c r="C139">
        <f t="shared" si="22"/>
        <v>16.069296137570131</v>
      </c>
      <c r="D139">
        <f t="shared" si="23"/>
        <v>1.0406611012741427</v>
      </c>
      <c r="E139">
        <f t="shared" si="24"/>
        <v>2.289454422803114</v>
      </c>
      <c r="F139">
        <f t="shared" si="25"/>
        <v>2.2000000000000002</v>
      </c>
      <c r="G139">
        <f t="shared" si="26"/>
        <v>0.82532127529297372</v>
      </c>
    </row>
    <row r="140" spans="1:7" x14ac:dyDescent="0.25">
      <c r="A140">
        <f t="shared" si="27"/>
        <v>2780</v>
      </c>
      <c r="B140">
        <f t="shared" si="21"/>
        <v>0.27854751533778138</v>
      </c>
      <c r="C140">
        <f t="shared" si="22"/>
        <v>15.959597022710438</v>
      </c>
      <c r="D140">
        <f t="shared" si="23"/>
        <v>1.0400893854844542</v>
      </c>
      <c r="E140">
        <f t="shared" si="24"/>
        <v>2.2881966480657994</v>
      </c>
      <c r="F140">
        <f t="shared" si="25"/>
        <v>2.2000000000000002</v>
      </c>
      <c r="G140">
        <f t="shared" si="26"/>
        <v>0.8248678623576069</v>
      </c>
    </row>
    <row r="141" spans="1:7" x14ac:dyDescent="0.25">
      <c r="A141">
        <f t="shared" si="27"/>
        <v>2800</v>
      </c>
      <c r="B141">
        <f t="shared" si="21"/>
        <v>0.27665820192617846</v>
      </c>
      <c r="C141">
        <f t="shared" si="22"/>
        <v>15.851347338048129</v>
      </c>
      <c r="D141">
        <f t="shared" si="23"/>
        <v>1.039529572510216</v>
      </c>
      <c r="E141">
        <f t="shared" si="24"/>
        <v>2.2869650595224758</v>
      </c>
      <c r="F141">
        <f t="shared" si="25"/>
        <v>2.2000000000000006</v>
      </c>
      <c r="G141">
        <f t="shared" si="26"/>
        <v>0.82442388923584997</v>
      </c>
    </row>
    <row r="142" spans="1:7" x14ac:dyDescent="0.25">
      <c r="A142">
        <f t="shared" si="27"/>
        <v>2820</v>
      </c>
      <c r="B142">
        <f t="shared" si="21"/>
        <v>0.27479370098677103</v>
      </c>
      <c r="C142">
        <f t="shared" si="22"/>
        <v>15.744519303321905</v>
      </c>
      <c r="D142">
        <f t="shared" si="23"/>
        <v>1.0389813360546925</v>
      </c>
      <c r="E142">
        <f t="shared" si="24"/>
        <v>2.2857589393203233</v>
      </c>
      <c r="F142">
        <f t="shared" si="25"/>
        <v>2.1999999999999997</v>
      </c>
      <c r="G142">
        <f t="shared" si="26"/>
        <v>0.82398909715024116</v>
      </c>
    </row>
    <row r="143" spans="1:7" x14ac:dyDescent="0.25">
      <c r="A143">
        <f t="shared" si="27"/>
        <v>2840</v>
      </c>
      <c r="B143">
        <f t="shared" si="21"/>
        <v>0.27295353962444802</v>
      </c>
      <c r="C143">
        <f t="shared" si="22"/>
        <v>15.639085823637751</v>
      </c>
      <c r="D143">
        <f t="shared" si="23"/>
        <v>1.0384443608676113</v>
      </c>
      <c r="E143">
        <f t="shared" si="24"/>
        <v>2.2845775939087449</v>
      </c>
      <c r="F143">
        <f t="shared" si="25"/>
        <v>2.2000000000000002</v>
      </c>
      <c r="G143">
        <f t="shared" si="26"/>
        <v>0.82356323608398252</v>
      </c>
    </row>
    <row r="144" spans="1:7" x14ac:dyDescent="0.25">
      <c r="A144">
        <f t="shared" si="27"/>
        <v>2860</v>
      </c>
      <c r="B144">
        <f t="shared" si="21"/>
        <v>0.27113725655097831</v>
      </c>
      <c r="C144">
        <f t="shared" si="22"/>
        <v>15.535020469126888</v>
      </c>
      <c r="D144">
        <f t="shared" si="23"/>
        <v>1.0379183423016154</v>
      </c>
      <c r="E144">
        <f t="shared" si="24"/>
        <v>2.283420353063554</v>
      </c>
      <c r="F144">
        <f t="shared" si="25"/>
        <v>2.2000000000000002</v>
      </c>
      <c r="G144">
        <f t="shared" si="26"/>
        <v>0.82314606442917193</v>
      </c>
    </row>
    <row r="145" spans="1:7" x14ac:dyDescent="0.25">
      <c r="A145">
        <f t="shared" si="27"/>
        <v>2880</v>
      </c>
      <c r="B145">
        <f t="shared" si="21"/>
        <v>0.26934440174208224</v>
      </c>
      <c r="C145">
        <f t="shared" si="22"/>
        <v>15.432297455297409</v>
      </c>
      <c r="D145">
        <f t="shared" si="23"/>
        <v>1.0374029858892595</v>
      </c>
      <c r="E145">
        <f t="shared" si="24"/>
        <v>2.2822865689563709</v>
      </c>
      <c r="F145">
        <f t="shared" si="25"/>
        <v>2.2000000000000002</v>
      </c>
      <c r="G145">
        <f t="shared" si="26"/>
        <v>0.82273734865133108</v>
      </c>
    </row>
    <row r="146" spans="1:7" x14ac:dyDescent="0.25">
      <c r="A146">
        <f t="shared" si="27"/>
        <v>2900</v>
      </c>
      <c r="B146">
        <f t="shared" si="21"/>
        <v>0.26757453610615423</v>
      </c>
      <c r="C146">
        <f t="shared" si="22"/>
        <v>15.330891624053498</v>
      </c>
      <c r="D146">
        <f t="shared" si="23"/>
        <v>1.0368980069394773</v>
      </c>
      <c r="E146">
        <f t="shared" si="24"/>
        <v>2.2811756152668501</v>
      </c>
      <c r="F146">
        <f t="shared" si="25"/>
        <v>2.2000000000000002</v>
      </c>
      <c r="G146">
        <f t="shared" si="26"/>
        <v>0.82233686296937369</v>
      </c>
    </row>
    <row r="147" spans="1:7" x14ac:dyDescent="0.25">
      <c r="A147">
        <f t="shared" si="27"/>
        <v>2920</v>
      </c>
      <c r="B147">
        <f t="shared" si="21"/>
        <v>0.26582723116419732</v>
      </c>
      <c r="C147">
        <f t="shared" si="22"/>
        <v>15.230778425357016</v>
      </c>
      <c r="D147">
        <f t="shared" si="23"/>
        <v>1.0364031301525054</v>
      </c>
      <c r="E147">
        <f t="shared" si="24"/>
        <v>2.2800868863355119</v>
      </c>
      <c r="F147">
        <f t="shared" si="25"/>
        <v>2.2000000000000002</v>
      </c>
      <c r="G147">
        <f t="shared" si="26"/>
        <v>0.82194438905021161</v>
      </c>
    </row>
    <row r="148" spans="1:7" x14ac:dyDescent="0.25">
      <c r="A148">
        <f t="shared" si="27"/>
        <v>2940</v>
      </c>
      <c r="B148">
        <f t="shared" si="21"/>
        <v>0.26410206874054759</v>
      </c>
      <c r="C148">
        <f t="shared" si="22"/>
        <v>15.131933899507326</v>
      </c>
      <c r="D148">
        <f t="shared" si="23"/>
        <v>1.0359180892523097</v>
      </c>
      <c r="E148">
        <f t="shared" si="24"/>
        <v>2.2790197963550818</v>
      </c>
      <c r="F148">
        <f t="shared" si="25"/>
        <v>2.2000000000000006</v>
      </c>
      <c r="G148">
        <f t="shared" si="26"/>
        <v>0.8215597157172424</v>
      </c>
    </row>
    <row r="149" spans="1:7" x14ac:dyDescent="0.25">
      <c r="A149">
        <f t="shared" si="27"/>
        <v>2960</v>
      </c>
      <c r="B149">
        <f t="shared" si="21"/>
        <v>0.26239864066398633</v>
      </c>
      <c r="C149">
        <f t="shared" si="22"/>
        <v>15.034334660016277</v>
      </c>
      <c r="D149">
        <f t="shared" si="23"/>
        <v>1.0354426266356145</v>
      </c>
      <c r="E149">
        <f t="shared" si="24"/>
        <v>2.2779737785983518</v>
      </c>
      <c r="F149">
        <f t="shared" si="25"/>
        <v>2.2000000000000002</v>
      </c>
      <c r="G149">
        <f t="shared" si="26"/>
        <v>0.82118263867200181</v>
      </c>
    </row>
    <row r="150" spans="1:7" x14ac:dyDescent="0.25">
      <c r="A150">
        <f t="shared" si="27"/>
        <v>2980</v>
      </c>
      <c r="B150">
        <f t="shared" si="21"/>
        <v>0.26071654847884917</v>
      </c>
      <c r="C150">
        <f t="shared" si="22"/>
        <v>14.937957877055981</v>
      </c>
      <c r="D150">
        <f t="shared" si="23"/>
        <v>1.0349764930366843</v>
      </c>
      <c r="E150">
        <f t="shared" si="24"/>
        <v>2.2769482846807052</v>
      </c>
      <c r="F150">
        <f t="shared" si="25"/>
        <v>2.1999999999999997</v>
      </c>
      <c r="G150">
        <f t="shared" si="26"/>
        <v>0.8208129602283134</v>
      </c>
    </row>
    <row r="151" spans="1:7" x14ac:dyDescent="0.25">
      <c r="A151">
        <f t="shared" si="27"/>
        <v>3000</v>
      </c>
      <c r="B151">
        <f t="shared" si="21"/>
        <v>0.25905540316576253</v>
      </c>
      <c r="C151">
        <f t="shared" si="22"/>
        <v>14.842781261458178</v>
      </c>
      <c r="D151">
        <f t="shared" si="23"/>
        <v>1.0345194472070625</v>
      </c>
      <c r="E151">
        <f t="shared" si="24"/>
        <v>2.2759427838555379</v>
      </c>
      <c r="F151">
        <f t="shared" si="25"/>
        <v>2.2000000000000006</v>
      </c>
      <c r="G151">
        <f t="shared" si="26"/>
        <v>0.82045048905829598</v>
      </c>
    </row>
    <row r="152" spans="1:7" x14ac:dyDescent="0.25">
      <c r="A152">
        <f t="shared" si="27"/>
        <v>3020</v>
      </c>
      <c r="B152">
        <f t="shared" si="21"/>
        <v>0.25741482487164824</v>
      </c>
      <c r="C152">
        <f t="shared" si="22"/>
        <v>14.748783049244656</v>
      </c>
      <c r="D152">
        <f t="shared" si="23"/>
        <v>1.0340712556095093</v>
      </c>
      <c r="E152">
        <f t="shared" si="24"/>
        <v>2.274956762340921</v>
      </c>
      <c r="F152">
        <f t="shared" si="25"/>
        <v>2.2000000000000006</v>
      </c>
      <c r="G152">
        <f t="shared" si="26"/>
        <v>0.82009503994963295</v>
      </c>
    </row>
    <row r="153" spans="1:7" x14ac:dyDescent="0.25">
      <c r="A153">
        <f t="shared" si="27"/>
        <v>3040</v>
      </c>
      <c r="B153">
        <f t="shared" si="21"/>
        <v>0.25579444264865364</v>
      </c>
      <c r="C153">
        <f t="shared" si="22"/>
        <v>14.65594198666904</v>
      </c>
      <c r="D153">
        <f t="shared" si="23"/>
        <v>1.0336316921254265</v>
      </c>
      <c r="E153">
        <f t="shared" si="24"/>
        <v>2.2739897226759385</v>
      </c>
      <c r="F153">
        <f t="shared" si="25"/>
        <v>2.2000000000000002</v>
      </c>
      <c r="G153">
        <f t="shared" si="26"/>
        <v>0.81974643357354049</v>
      </c>
    </row>
    <row r="154" spans="1:7" x14ac:dyDescent="0.25">
      <c r="A154">
        <f t="shared" si="27"/>
        <v>3060</v>
      </c>
      <c r="B154">
        <f t="shared" si="21"/>
        <v>0.25419389420167859</v>
      </c>
      <c r="C154">
        <f t="shared" si="22"/>
        <v>14.564237315751152</v>
      </c>
      <c r="D154">
        <f t="shared" si="23"/>
        <v>1.0332005377750986</v>
      </c>
      <c r="E154">
        <f t="shared" si="24"/>
        <v>2.2730411831052169</v>
      </c>
      <c r="F154">
        <f t="shared" si="25"/>
        <v>2.2000000000000002</v>
      </c>
      <c r="G154">
        <f t="shared" si="26"/>
        <v>0.81940449626289713</v>
      </c>
    </row>
    <row r="155" spans="1:7" x14ac:dyDescent="0.25">
      <c r="A155">
        <f t="shared" si="27"/>
        <v>3080</v>
      </c>
      <c r="B155">
        <f t="shared" si="21"/>
        <v>0.2526128256441818</v>
      </c>
      <c r="C155">
        <f t="shared" si="22"/>
        <v>14.473648760285748</v>
      </c>
      <c r="D155">
        <f t="shared" si="23"/>
        <v>1.0327775804501134</v>
      </c>
      <c r="E155">
        <f t="shared" si="24"/>
        <v>2.2721106769902497</v>
      </c>
      <c r="F155">
        <f t="shared" si="25"/>
        <v>2.2000000000000002</v>
      </c>
      <c r="G155">
        <f t="shared" si="26"/>
        <v>0.81906905980003353</v>
      </c>
    </row>
    <row r="156" spans="1:7" x14ac:dyDescent="0.25">
      <c r="A156">
        <f t="shared" si="27"/>
        <v>3100</v>
      </c>
      <c r="B156">
        <f t="shared" si="21"/>
        <v>0.25105089126196384</v>
      </c>
      <c r="C156">
        <f t="shared" si="22"/>
        <v>14.384156512308286</v>
      </c>
      <c r="D156">
        <f t="shared" si="23"/>
        <v>1.032362614657365</v>
      </c>
      <c r="E156">
        <f t="shared" si="24"/>
        <v>2.271197752246203</v>
      </c>
      <c r="F156">
        <f t="shared" si="25"/>
        <v>2.2000000000000002</v>
      </c>
      <c r="G156">
        <f t="shared" si="26"/>
        <v>0.81873996121370718</v>
      </c>
    </row>
    <row r="157" spans="1:7" x14ac:dyDescent="0.25">
      <c r="A157">
        <f t="shared" si="27"/>
        <v>3120</v>
      </c>
      <c r="B157">
        <f t="shared" si="21"/>
        <v>0.24950775328463512</v>
      </c>
      <c r="C157">
        <f t="shared" si="22"/>
        <v>14.295741219000996</v>
      </c>
      <c r="D157">
        <f t="shared" si="23"/>
        <v>1.0319554412740668</v>
      </c>
      <c r="E157">
        <f t="shared" si="24"/>
        <v>2.2703019708029468</v>
      </c>
      <c r="F157">
        <f t="shared" si="25"/>
        <v>2.1999999999999997</v>
      </c>
      <c r="G157">
        <f t="shared" si="26"/>
        <v>0.81841704258481085</v>
      </c>
    </row>
    <row r="158" spans="1:7" x14ac:dyDescent="0.25">
      <c r="A158">
        <f t="shared" si="27"/>
        <v>3140</v>
      </c>
      <c r="B158">
        <f t="shared" si="21"/>
        <v>0.24798308166448865</v>
      </c>
      <c r="C158">
        <f t="shared" si="22"/>
        <v>14.208383970023229</v>
      </c>
      <c r="D158">
        <f t="shared" si="23"/>
        <v>1.0315558673132437</v>
      </c>
      <c r="E158">
        <f t="shared" si="24"/>
        <v>2.2694229080891364</v>
      </c>
      <c r="F158">
        <f t="shared" si="25"/>
        <v>2.2000000000000002</v>
      </c>
      <c r="G158">
        <f t="shared" si="26"/>
        <v>0.81810015086039023</v>
      </c>
    </row>
    <row r="159" spans="1:7" x14ac:dyDescent="0.25">
      <c r="A159">
        <f t="shared" si="27"/>
        <v>3160</v>
      </c>
      <c r="B159">
        <f t="shared" si="21"/>
        <v>0.2464765538625088</v>
      </c>
      <c r="C159">
        <f t="shared" si="22"/>
        <v>14.122066285250662</v>
      </c>
      <c r="D159">
        <f t="shared" si="23"/>
        <v>1.0311637056991947</v>
      </c>
      <c r="E159">
        <f t="shared" si="24"/>
        <v>2.2685601525382286</v>
      </c>
      <c r="F159">
        <f t="shared" si="25"/>
        <v>2.2000000000000002</v>
      </c>
      <c r="G159">
        <f t="shared" si="26"/>
        <v>0.81778913767556805</v>
      </c>
    </row>
    <row r="160" spans="1:7" x14ac:dyDescent="0.25">
      <c r="A160">
        <f t="shared" si="27"/>
        <v>3180</v>
      </c>
      <c r="B160">
        <f t="shared" si="21"/>
        <v>0.2449878546412578</v>
      </c>
      <c r="C160">
        <f t="shared" si="22"/>
        <v>14.036770102908569</v>
      </c>
      <c r="D160">
        <f t="shared" si="23"/>
        <v>1.0307787750524442</v>
      </c>
      <c r="E160">
        <f t="shared" si="24"/>
        <v>2.2677133051153771</v>
      </c>
      <c r="F160">
        <f t="shared" si="25"/>
        <v>2.1999999999999997</v>
      </c>
      <c r="G160">
        <f t="shared" si="26"/>
        <v>0.81748385918299571</v>
      </c>
    </row>
    <row r="161" spans="1:7" x14ac:dyDescent="0.25">
      <c r="A161">
        <f t="shared" si="27"/>
        <v>3200</v>
      </c>
      <c r="B161">
        <f t="shared" si="21"/>
        <v>0.24351667586439193</v>
      </c>
      <c r="C161">
        <f t="shared" si="22"/>
        <v>13.952477768084936</v>
      </c>
      <c r="D161">
        <f t="shared" si="23"/>
        <v>1.0304008994837304</v>
      </c>
      <c r="E161">
        <f t="shared" si="24"/>
        <v>2.2668819788642067</v>
      </c>
      <c r="F161">
        <f t="shared" si="25"/>
        <v>2.1999999999999997</v>
      </c>
      <c r="G161">
        <f t="shared" si="26"/>
        <v>0.81718417588947101</v>
      </c>
    </row>
    <row r="162" spans="1:7" x14ac:dyDescent="0.25">
      <c r="A162">
        <f t="shared" si="27"/>
        <v>3220</v>
      </c>
      <c r="B162">
        <f t="shared" si="21"/>
        <v>0.24206271630256926</v>
      </c>
      <c r="C162">
        <f t="shared" si="22"/>
        <v>13.869172021609806</v>
      </c>
      <c r="D162">
        <f t="shared" si="23"/>
        <v>1.0300299083966011</v>
      </c>
      <c r="E162">
        <f t="shared" si="24"/>
        <v>2.2660657984725225</v>
      </c>
      <c r="F162">
        <f t="shared" si="25"/>
        <v>2.2000000000000002</v>
      </c>
      <c r="G162">
        <f t="shared" si="26"/>
        <v>0.8168899524993809</v>
      </c>
    </row>
    <row r="163" spans="1:7" x14ac:dyDescent="0.25">
      <c r="A163">
        <f t="shared" si="27"/>
        <v>3240</v>
      </c>
      <c r="B163">
        <f t="shared" si="21"/>
        <v>0.24062568144551946</v>
      </c>
      <c r="C163">
        <f t="shared" si="22"/>
        <v>13.786835989287667</v>
      </c>
      <c r="D163">
        <f t="shared" si="23"/>
        <v>1.029665636298208</v>
      </c>
      <c r="E163">
        <f t="shared" si="24"/>
        <v>2.2652643998560578</v>
      </c>
      <c r="F163">
        <f t="shared" si="25"/>
        <v>2.2000000000000002</v>
      </c>
      <c r="G163">
        <f t="shared" si="26"/>
        <v>0.81660105776464798</v>
      </c>
    </row>
    <row r="164" spans="1:7" x14ac:dyDescent="0.25">
      <c r="A164">
        <f t="shared" si="27"/>
        <v>3260</v>
      </c>
      <c r="B164">
        <f t="shared" si="21"/>
        <v>0.23920528332005625</v>
      </c>
      <c r="C164">
        <f t="shared" si="22"/>
        <v>13.705453171470332</v>
      </c>
      <c r="D164">
        <f t="shared" si="23"/>
        <v>1.0293079226179154</v>
      </c>
      <c r="E164">
        <f t="shared" si="24"/>
        <v>2.2644774297594141</v>
      </c>
      <c r="F164">
        <f t="shared" si="25"/>
        <v>2.2000000000000002</v>
      </c>
      <c r="G164">
        <f t="shared" si="26"/>
        <v>0.8163173643408741</v>
      </c>
    </row>
    <row r="165" spans="1:7" x14ac:dyDescent="0.25">
      <c r="A165">
        <f t="shared" si="27"/>
        <v>3280</v>
      </c>
      <c r="B165">
        <f t="shared" si="21"/>
        <v>0.23780124031382083</v>
      </c>
      <c r="C165">
        <f t="shared" si="22"/>
        <v>13.625007432958183</v>
      </c>
      <c r="D165">
        <f t="shared" si="23"/>
        <v>1.0289566115333575</v>
      </c>
      <c r="E165">
        <f t="shared" si="24"/>
        <v>2.2637045453733866</v>
      </c>
      <c r="F165">
        <f t="shared" si="25"/>
        <v>2.2000000000000002</v>
      </c>
      <c r="G165">
        <f t="shared" si="26"/>
        <v>0.81603874864939008</v>
      </c>
    </row>
    <row r="166" spans="1:7" x14ac:dyDescent="0.25">
      <c r="A166">
        <f t="shared" si="27"/>
        <v>3300</v>
      </c>
      <c r="B166">
        <f t="shared" si="21"/>
        <v>0.23641327700455311</v>
      </c>
      <c r="C166">
        <f t="shared" si="22"/>
        <v>13.545482993218132</v>
      </c>
      <c r="D166">
        <f t="shared" si="23"/>
        <v>1.0286115518035983</v>
      </c>
      <c r="E166">
        <f t="shared" si="24"/>
        <v>2.2629454139679166</v>
      </c>
      <c r="F166">
        <f t="shared" si="25"/>
        <v>2.2000000000000002</v>
      </c>
      <c r="G166">
        <f t="shared" si="26"/>
        <v>0.81576509074494041</v>
      </c>
    </row>
    <row r="167" spans="1:7" x14ac:dyDescent="0.25">
      <c r="A167">
        <f t="shared" si="27"/>
        <v>3320</v>
      </c>
      <c r="B167">
        <f t="shared" si="21"/>
        <v>0.23504112399469546</v>
      </c>
      <c r="C167">
        <f t="shared" si="22"/>
        <v>13.466864416907114</v>
      </c>
      <c r="D167">
        <f t="shared" si="23"/>
        <v>1.0282725966090662</v>
      </c>
      <c r="E167">
        <f t="shared" si="24"/>
        <v>2.2621997125399456</v>
      </c>
      <c r="F167">
        <f t="shared" si="25"/>
        <v>2.1999999999999997</v>
      </c>
      <c r="G167">
        <f t="shared" si="26"/>
        <v>0.81549627418873771</v>
      </c>
    </row>
    <row r="168" spans="1:7" x14ac:dyDescent="0.25">
      <c r="A168">
        <f t="shared" si="27"/>
        <v>3340</v>
      </c>
      <c r="B168">
        <f t="shared" si="21"/>
        <v>0.2336845177511413</v>
      </c>
      <c r="C168">
        <f t="shared" si="22"/>
        <v>13.389136604690364</v>
      </c>
      <c r="D168">
        <f t="shared" si="23"/>
        <v>1.0279396033979489</v>
      </c>
      <c r="E168">
        <f t="shared" si="24"/>
        <v>2.2614671274754876</v>
      </c>
      <c r="F168">
        <f t="shared" si="25"/>
        <v>2.2000000000000002</v>
      </c>
      <c r="G168">
        <f t="shared" si="26"/>
        <v>0.81523218592664481</v>
      </c>
    </row>
    <row r="169" spans="1:7" x14ac:dyDescent="0.25">
      <c r="A169">
        <f t="shared" si="27"/>
        <v>3360</v>
      </c>
      <c r="B169">
        <f t="shared" si="21"/>
        <v>0.23234320044994819</v>
      </c>
      <c r="C169">
        <f t="shared" si="22"/>
        <v>13.31228478434412</v>
      </c>
      <c r="D169">
        <f t="shared" si="23"/>
        <v>1.0276124337387587</v>
      </c>
      <c r="E169">
        <f t="shared" si="24"/>
        <v>2.2607473542252694</v>
      </c>
      <c r="F169">
        <f t="shared" si="25"/>
        <v>2.2000000000000002</v>
      </c>
      <c r="G169">
        <f t="shared" si="26"/>
        <v>0.81497271617224609</v>
      </c>
    </row>
    <row r="170" spans="1:7" x14ac:dyDescent="0.25">
      <c r="A170">
        <f t="shared" si="27"/>
        <v>3380</v>
      </c>
      <c r="B170">
        <f t="shared" si="21"/>
        <v>0.23101691982584149</v>
      </c>
      <c r="C170">
        <f t="shared" si="22"/>
        <v>13.23629450213283</v>
      </c>
      <c r="D170">
        <f t="shared" si="23"/>
        <v>1.0272909531787824</v>
      </c>
      <c r="E170">
        <f t="shared" si="24"/>
        <v>2.2600400969933214</v>
      </c>
      <c r="F170">
        <f t="shared" si="25"/>
        <v>2.2000000000000002</v>
      </c>
      <c r="G170">
        <f t="shared" si="26"/>
        <v>0.81471775829458859</v>
      </c>
    </row>
    <row r="171" spans="1:7" x14ac:dyDescent="0.25">
      <c r="A171">
        <f t="shared" si="27"/>
        <v>3400</v>
      </c>
      <c r="B171">
        <f t="shared" si="21"/>
        <v>0.22970542902634231</v>
      </c>
      <c r="C171">
        <f t="shared" si="22"/>
        <v>13.161151614451288</v>
      </c>
      <c r="D171">
        <f t="shared" si="23"/>
        <v>1.026975031108152</v>
      </c>
      <c r="E171">
        <f t="shared" si="24"/>
        <v>2.2593450684379346</v>
      </c>
      <c r="F171">
        <f t="shared" si="25"/>
        <v>2.2000000000000002</v>
      </c>
      <c r="G171">
        <f t="shared" si="26"/>
        <v>0.81446720871038036</v>
      </c>
    </row>
    <row r="172" spans="1:7" x14ac:dyDescent="0.25">
      <c r="A172">
        <f t="shared" si="27"/>
        <v>3420</v>
      </c>
      <c r="B172">
        <f t="shared" si="21"/>
        <v>0.22840848647035886</v>
      </c>
      <c r="C172">
        <f t="shared" si="22"/>
        <v>13.086842279722529</v>
      </c>
      <c r="D172">
        <f t="shared" si="23"/>
        <v>1.026664540629284</v>
      </c>
      <c r="E172">
        <f t="shared" si="24"/>
        <v>2.2586619893844251</v>
      </c>
      <c r="F172">
        <f t="shared" si="25"/>
        <v>2.2000000000000002</v>
      </c>
      <c r="G172">
        <f t="shared" si="26"/>
        <v>0.81422096678044575</v>
      </c>
    </row>
    <row r="173" spans="1:7" x14ac:dyDescent="0.25">
      <c r="A173">
        <f t="shared" si="27"/>
        <v>3440</v>
      </c>
      <c r="B173">
        <f t="shared" si="21"/>
        <v>0.22712585571108704</v>
      </c>
      <c r="C173">
        <f t="shared" si="22"/>
        <v>13.013352950542593</v>
      </c>
      <c r="D173">
        <f t="shared" si="23"/>
        <v>1.0263593584314463</v>
      </c>
      <c r="E173">
        <f t="shared" si="24"/>
        <v>2.2579905885491822</v>
      </c>
      <c r="F173">
        <f t="shared" si="25"/>
        <v>2.2000000000000002</v>
      </c>
      <c r="G173">
        <f t="shared" si="26"/>
        <v>0.81397893471024763</v>
      </c>
    </row>
    <row r="174" spans="1:7" x14ac:dyDescent="0.25">
      <c r="A174">
        <f t="shared" si="27"/>
        <v>3460</v>
      </c>
      <c r="B174">
        <f t="shared" si="21"/>
        <v>0.22585730530307174</v>
      </c>
      <c r="C174">
        <f t="shared" si="22"/>
        <v>12.940670366063719</v>
      </c>
      <c r="D174">
        <f t="shared" si="23"/>
        <v>1.0260593646702236</v>
      </c>
      <c r="E174">
        <f t="shared" si="24"/>
        <v>2.2573306022744921</v>
      </c>
      <c r="F174">
        <f t="shared" si="25"/>
        <v>2.2000000000000002</v>
      </c>
      <c r="G174">
        <f t="shared" si="26"/>
        <v>0.8137410174542945</v>
      </c>
    </row>
    <row r="175" spans="1:7" x14ac:dyDescent="0.25">
      <c r="A175">
        <f t="shared" si="27"/>
        <v>3480</v>
      </c>
      <c r="B175">
        <f t="shared" si="21"/>
        <v>0.22460260867328621</v>
      </c>
      <c r="C175">
        <f t="shared" si="22"/>
        <v>12.868781544607719</v>
      </c>
      <c r="D175">
        <f t="shared" si="23"/>
        <v>1.0257644428516675</v>
      </c>
      <c r="E175">
        <f t="shared" si="24"/>
        <v>2.2566817742736687</v>
      </c>
      <c r="F175">
        <f t="shared" si="25"/>
        <v>2.2000000000000002</v>
      </c>
      <c r="G175">
        <f t="shared" si="26"/>
        <v>0.81350712262426339</v>
      </c>
    </row>
    <row r="176" spans="1:7" x14ac:dyDescent="0.25">
      <c r="A176">
        <f t="shared" si="27"/>
        <v>3500</v>
      </c>
      <c r="B176">
        <f t="shared" si="21"/>
        <v>0.22336154399609201</v>
      </c>
      <c r="C176">
        <f t="shared" si="22"/>
        <v>12.797673776501725</v>
      </c>
      <c r="D176">
        <f t="shared" si="23"/>
        <v>1.0254744797209214</v>
      </c>
      <c r="E176">
        <f t="shared" si="24"/>
        <v>2.2560438553860274</v>
      </c>
      <c r="F176">
        <f t="shared" si="25"/>
        <v>2.2000000000000002</v>
      </c>
      <c r="G176">
        <f t="shared" si="26"/>
        <v>0.81327716040067088</v>
      </c>
    </row>
    <row r="177" spans="1:7" x14ac:dyDescent="0.25">
      <c r="A177">
        <f t="shared" si="27"/>
        <v>3520</v>
      </c>
      <c r="B177">
        <f t="shared" si="21"/>
        <v>0.22213389407194689</v>
      </c>
      <c r="C177">
        <f t="shared" si="22"/>
        <v>12.727334617128653</v>
      </c>
      <c r="D177">
        <f t="shared" si="23"/>
        <v>1.0251893651551278</v>
      </c>
      <c r="E177">
        <f t="shared" si="24"/>
        <v>2.2554166033412812</v>
      </c>
      <c r="F177">
        <f t="shared" si="25"/>
        <v>2.2000000000000002</v>
      </c>
      <c r="G177">
        <f t="shared" si="26"/>
        <v>0.81305104344794021</v>
      </c>
    </row>
    <row r="178" spans="1:7" x14ac:dyDescent="0.25">
      <c r="A178">
        <f t="shared" si="27"/>
        <v>3540</v>
      </c>
      <c r="B178">
        <f t="shared" si="21"/>
        <v>0.22091944620973425</v>
      </c>
      <c r="C178">
        <f t="shared" si="22"/>
        <v>12.657751880185183</v>
      </c>
      <c r="D178">
        <f t="shared" si="23"/>
        <v>1.0249089920604291</v>
      </c>
      <c r="E178">
        <f t="shared" si="24"/>
        <v>2.254799782532944</v>
      </c>
      <c r="F178">
        <f t="shared" si="25"/>
        <v>2.2000000000000002</v>
      </c>
      <c r="G178">
        <f t="shared" si="26"/>
        <v>0.81282868683271614</v>
      </c>
    </row>
    <row r="179" spans="1:7" x14ac:dyDescent="0.25">
      <c r="A179">
        <f t="shared" si="27"/>
        <v>3560</v>
      </c>
      <c r="B179">
        <f t="shared" si="21"/>
        <v>0.21971799211259085</v>
      </c>
      <c r="C179">
        <f t="shared" si="22"/>
        <v>12.588913631140167</v>
      </c>
      <c r="D179">
        <f t="shared" si="23"/>
        <v>1.024633256272885</v>
      </c>
      <c r="E179">
        <f t="shared" si="24"/>
        <v>2.2541931638003474</v>
      </c>
      <c r="F179">
        <f t="shared" si="25"/>
        <v>2.2000000000000002</v>
      </c>
      <c r="G179">
        <f t="shared" si="26"/>
        <v>0.81261000794528493</v>
      </c>
    </row>
    <row r="180" spans="1:7" x14ac:dyDescent="0.25">
      <c r="A180">
        <f t="shared" si="27"/>
        <v>3580</v>
      </c>
      <c r="B180">
        <f t="shared" si="21"/>
        <v>0.21852932776711539</v>
      </c>
      <c r="C180">
        <f t="shared" si="22"/>
        <v>12.520808180886743</v>
      </c>
      <c r="D180">
        <f t="shared" si="23"/>
        <v>1.0243620564631397</v>
      </c>
      <c r="E180">
        <f t="shared" si="24"/>
        <v>2.2535965242189078</v>
      </c>
      <c r="F180">
        <f t="shared" si="25"/>
        <v>2.2000000000000002</v>
      </c>
      <c r="G180">
        <f t="shared" si="26"/>
        <v>0.81239492642396716</v>
      </c>
    </row>
    <row r="181" spans="1:7" x14ac:dyDescent="0.25">
      <c r="A181">
        <f t="shared" si="27"/>
        <v>3600</v>
      </c>
      <c r="B181">
        <f t="shared" si="21"/>
        <v>0.21735325333584402</v>
      </c>
      <c r="C181">
        <f t="shared" si="22"/>
        <v>12.453424079581644</v>
      </c>
      <c r="D181">
        <f t="shared" si="23"/>
        <v>1.0240952940446748</v>
      </c>
      <c r="E181">
        <f t="shared" si="24"/>
        <v>2.2530096468982848</v>
      </c>
      <c r="F181">
        <f t="shared" si="25"/>
        <v>2.2000000000000002</v>
      </c>
      <c r="G181">
        <f t="shared" si="26"/>
        <v>0.81218336408235736</v>
      </c>
    </row>
    <row r="182" spans="1:7" x14ac:dyDescent="0.25">
      <c r="A182">
        <f t="shared" si="27"/>
        <v>3620</v>
      </c>
      <c r="B182">
        <f t="shared" si="21"/>
        <v>0.21618957305288397</v>
      </c>
      <c r="C182">
        <f t="shared" si="22"/>
        <v>12.386750110665444</v>
      </c>
      <c r="D182">
        <f t="shared" si="23"/>
        <v>1.0238328730854975</v>
      </c>
      <c r="E182">
        <f t="shared" si="24"/>
        <v>2.252432320788095</v>
      </c>
      <c r="F182">
        <f t="shared" si="25"/>
        <v>2.2000000000000002</v>
      </c>
      <c r="G182">
        <f t="shared" si="26"/>
        <v>0.81197524483928529</v>
      </c>
    </row>
    <row r="183" spans="1:7" x14ac:dyDescent="0.25">
      <c r="A183">
        <f t="shared" si="27"/>
        <v>3640</v>
      </c>
      <c r="B183">
        <f t="shared" si="21"/>
        <v>0.21503809512259978</v>
      </c>
      <c r="C183">
        <f t="shared" si="22"/>
        <v>12.320775285057699</v>
      </c>
      <c r="D183">
        <f t="shared" si="23"/>
        <v>1.0235747002231188</v>
      </c>
      <c r="E183">
        <f t="shared" si="24"/>
        <v>2.2518643404908616</v>
      </c>
      <c r="F183">
        <f t="shared" si="25"/>
        <v>2.2000000000000002</v>
      </c>
      <c r="G183">
        <f t="shared" si="26"/>
        <v>0.81177049465138684</v>
      </c>
    </row>
    <row r="184" spans="1:7" x14ac:dyDescent="0.25">
      <c r="A184">
        <f t="shared" si="27"/>
        <v>3660</v>
      </c>
      <c r="B184">
        <f t="shared" si="21"/>
        <v>0.21389863162125081</v>
      </c>
      <c r="C184">
        <f t="shared" si="22"/>
        <v>12.255488835521204</v>
      </c>
      <c r="D184">
        <f t="shared" si="23"/>
        <v>1.0233206845826794</v>
      </c>
      <c r="E184">
        <f t="shared" si="24"/>
        <v>2.2513055060818949</v>
      </c>
      <c r="F184">
        <f t="shared" si="25"/>
        <v>2.2000000000000002</v>
      </c>
      <c r="G184">
        <f t="shared" si="26"/>
        <v>0.81156904144817299</v>
      </c>
    </row>
    <row r="185" spans="1:7" x14ac:dyDescent="0.25">
      <c r="A185">
        <f t="shared" si="27"/>
        <v>3680</v>
      </c>
      <c r="B185">
        <f t="shared" si="21"/>
        <v>0.21277099840148225</v>
      </c>
      <c r="C185">
        <f t="shared" si="22"/>
        <v>12.19088021118972</v>
      </c>
      <c r="D185">
        <f t="shared" si="23"/>
        <v>1.0230707376980954</v>
      </c>
      <c r="E185">
        <f t="shared" si="24"/>
        <v>2.2507556229358099</v>
      </c>
      <c r="F185">
        <f t="shared" si="25"/>
        <v>2.2000000000000002</v>
      </c>
      <c r="G185">
        <f t="shared" si="26"/>
        <v>0.81137081506949127</v>
      </c>
    </row>
    <row r="186" spans="1:7" x14ac:dyDescent="0.25">
      <c r="A186">
        <f t="shared" si="27"/>
        <v>3700</v>
      </c>
      <c r="B186">
        <f t="shared" si="21"/>
        <v>0.21165501499957606</v>
      </c>
      <c r="C186">
        <f t="shared" si="22"/>
        <v>12.126939072253842</v>
      </c>
      <c r="D186">
        <f t="shared" si="23"/>
        <v>1.0228247734360949</v>
      </c>
      <c r="E186">
        <f t="shared" si="24"/>
        <v>2.2502145015594088</v>
      </c>
      <c r="F186">
        <f t="shared" si="25"/>
        <v>2.2000000000000002</v>
      </c>
      <c r="G186">
        <f t="shared" si="26"/>
        <v>0.8111757472052824</v>
      </c>
    </row>
    <row r="187" spans="1:7" x14ac:dyDescent="0.25">
      <c r="A187">
        <f t="shared" si="27"/>
        <v>3720</v>
      </c>
      <c r="B187">
        <f t="shared" si="21"/>
        <v>0.21055050454537061</v>
      </c>
      <c r="C187">
        <f t="shared" si="22"/>
        <v>12.063655284799793</v>
      </c>
      <c r="D187">
        <f t="shared" si="23"/>
        <v>1.0225827079230259</v>
      </c>
      <c r="E187">
        <f t="shared" si="24"/>
        <v>2.2496819574306572</v>
      </c>
      <c r="F187">
        <f t="shared" si="25"/>
        <v>2.2000000000000002</v>
      </c>
      <c r="G187">
        <f t="shared" si="26"/>
        <v>0.81098377133753274</v>
      </c>
    </row>
    <row r="188" spans="1:7" x14ac:dyDescent="0.25">
      <c r="A188">
        <f t="shared" si="27"/>
        <v>3740</v>
      </c>
      <c r="B188">
        <f t="shared" si="21"/>
        <v>0.20945729367476223</v>
      </c>
      <c r="C188">
        <f t="shared" si="22"/>
        <v>12.001018915796109</v>
      </c>
      <c r="D188">
        <f t="shared" si="23"/>
        <v>1.0223444594743216</v>
      </c>
      <c r="E188">
        <f t="shared" si="24"/>
        <v>2.2491578108435077</v>
      </c>
      <c r="F188">
        <f t="shared" si="25"/>
        <v>2.2000000000000002</v>
      </c>
      <c r="G188">
        <f t="shared" si="26"/>
        <v>0.81079482268433478</v>
      </c>
    </row>
    <row r="189" spans="1:7" x14ac:dyDescent="0.25">
      <c r="A189">
        <f t="shared" si="27"/>
        <v>3760</v>
      </c>
      <c r="B189">
        <f t="shared" si="21"/>
        <v>0.20837521244470419</v>
      </c>
      <c r="C189">
        <f t="shared" si="22"/>
        <v>11.939020228223459</v>
      </c>
      <c r="D189">
        <f t="shared" si="23"/>
        <v>1.022109948526513</v>
      </c>
      <c r="E189">
        <f t="shared" si="24"/>
        <v>2.2486418867583291</v>
      </c>
      <c r="F189">
        <f t="shared" si="25"/>
        <v>2.2000000000000002</v>
      </c>
      <c r="G189">
        <f t="shared" si="26"/>
        <v>0.81060883814596929</v>
      </c>
    </row>
    <row r="190" spans="1:7" x14ac:dyDescent="0.25">
      <c r="A190">
        <f t="shared" si="27"/>
        <v>3780</v>
      </c>
      <c r="B190">
        <f t="shared" si="21"/>
        <v>0.20730409425062221</v>
      </c>
      <c r="C190">
        <f t="shared" si="22"/>
        <v>11.877649676342887</v>
      </c>
      <c r="D190">
        <f t="shared" si="23"/>
        <v>1.0218790975716852</v>
      </c>
      <c r="E190">
        <f t="shared" si="24"/>
        <v>2.2481340146577078</v>
      </c>
      <c r="F190">
        <f t="shared" si="25"/>
        <v>2.2000000000000006</v>
      </c>
      <c r="G190">
        <f t="shared" si="26"/>
        <v>0.81042575625292279</v>
      </c>
    </row>
    <row r="191" spans="1:7" x14ac:dyDescent="0.25">
      <c r="A191">
        <f t="shared" si="27"/>
        <v>3800</v>
      </c>
      <c r="B191">
        <f t="shared" si="21"/>
        <v>0.20624377574616817</v>
      </c>
      <c r="C191">
        <f t="shared" si="22"/>
        <v>11.816897901098047</v>
      </c>
      <c r="D191">
        <f t="shared" si="23"/>
        <v>1.0216518310942757</v>
      </c>
      <c r="E191">
        <f t="shared" si="24"/>
        <v>2.2476340284074068</v>
      </c>
      <c r="F191">
        <f t="shared" si="25"/>
        <v>2.2000000000000002</v>
      </c>
      <c r="G191">
        <f t="shared" si="26"/>
        <v>0.81024551711576531</v>
      </c>
    </row>
    <row r="192" spans="1:7" x14ac:dyDescent="0.25">
      <c r="A192">
        <f t="shared" si="27"/>
        <v>3820</v>
      </c>
      <c r="B192">
        <f t="shared" si="21"/>
        <v>0.20519409676523703</v>
      </c>
      <c r="C192">
        <f t="shared" si="22"/>
        <v>11.7567557256471</v>
      </c>
      <c r="D192">
        <f t="shared" si="23"/>
        <v>1.0214280755101239</v>
      </c>
      <c r="E192">
        <f t="shared" si="24"/>
        <v>2.2471417661222728</v>
      </c>
      <c r="F192">
        <f t="shared" si="25"/>
        <v>2.2000000000000002</v>
      </c>
      <c r="G192">
        <f t="shared" si="26"/>
        <v>0.81006806237681139</v>
      </c>
    </row>
    <row r="193" spans="1:7" x14ac:dyDescent="0.25">
      <c r="A193">
        <f t="shared" si="27"/>
        <v>3840</v>
      </c>
      <c r="B193">
        <f t="shared" ref="B193:B256" si="28">ATAN($I$2^2/($I$3*A193))</f>
        <v>0.20415490024617367</v>
      </c>
      <c r="C193">
        <f t="shared" ref="C193:C256" si="29">B193*180/PI()</f>
        <v>11.697214151020082</v>
      </c>
      <c r="D193">
        <f t="shared" ref="D193:D256" si="30">_xlfn.SEC(B193)</f>
        <v>1.0212077591076767</v>
      </c>
      <c r="E193">
        <f t="shared" ref="E193:E256" si="31">$I$4/COS(B193)</f>
        <v>2.2466570700368891</v>
      </c>
      <c r="F193">
        <f t="shared" ref="F193:F256" si="32">E193/D193</f>
        <v>2.2000000000000002</v>
      </c>
      <c r="G193">
        <f t="shared" ref="G193:G256" si="33">E193/(0.5*(0.86*10^-4)*$I$2^2*362.88/144)</f>
        <v>0.80989333516349182</v>
      </c>
    </row>
    <row r="194" spans="1:7" x14ac:dyDescent="0.25">
      <c r="A194">
        <f t="shared" si="27"/>
        <v>3860</v>
      </c>
      <c r="B194">
        <f t="shared" si="28"/>
        <v>0.2031260321581001</v>
      </c>
      <c r="C194">
        <f t="shared" si="29"/>
        <v>11.638264351897773</v>
      </c>
      <c r="D194">
        <f t="shared" si="30"/>
        <v>1.0209908119912665</v>
      </c>
      <c r="E194">
        <f t="shared" si="31"/>
        <v>2.2461797863807864</v>
      </c>
      <c r="F194">
        <f t="shared" si="32"/>
        <v>2.2000000000000002</v>
      </c>
      <c r="G194">
        <f t="shared" si="33"/>
        <v>0.80972128004336907</v>
      </c>
    </row>
    <row r="195" spans="1:7" x14ac:dyDescent="0.25">
      <c r="A195">
        <f t="shared" si="27"/>
        <v>3880</v>
      </c>
      <c r="B195">
        <f t="shared" si="28"/>
        <v>0.20210734142929559</v>
      </c>
      <c r="C195">
        <f t="shared" si="29"/>
        <v>11.579897672508169</v>
      </c>
      <c r="D195">
        <f t="shared" si="30"/>
        <v>1.0207771660263767</v>
      </c>
      <c r="E195">
        <f t="shared" si="31"/>
        <v>2.2457097652580291</v>
      </c>
      <c r="F195">
        <f t="shared" si="32"/>
        <v>2.2000000000000002</v>
      </c>
      <c r="G195">
        <f t="shared" si="33"/>
        <v>0.80955184298072869</v>
      </c>
    </row>
    <row r="196" spans="1:7" x14ac:dyDescent="0.25">
      <c r="A196">
        <f t="shared" ref="A196:A259" si="34">A195+20</f>
        <v>3900</v>
      </c>
      <c r="B196">
        <f t="shared" si="28"/>
        <v>0.2010986798775638</v>
      </c>
      <c r="C196">
        <f t="shared" si="29"/>
        <v>11.52210562263682</v>
      </c>
      <c r="D196">
        <f t="shared" si="30"/>
        <v>1.0205667547868187</v>
      </c>
      <c r="E196">
        <f t="shared" si="31"/>
        <v>2.2452468605310014</v>
      </c>
      <c r="F196">
        <f t="shared" si="32"/>
        <v>2.2000000000000002</v>
      </c>
      <c r="G196">
        <f t="shared" si="33"/>
        <v>0.80938497129468656</v>
      </c>
    </row>
    <row r="197" spans="1:7" x14ac:dyDescent="0.25">
      <c r="A197">
        <f t="shared" si="34"/>
        <v>3920</v>
      </c>
      <c r="B197">
        <f t="shared" si="28"/>
        <v>0.2000999021425249</v>
      </c>
      <c r="C197">
        <f t="shared" si="29"/>
        <v>11.464879873747456</v>
      </c>
      <c r="D197">
        <f t="shared" si="30"/>
        <v>1.0203595135037395</v>
      </c>
      <c r="E197">
        <f t="shared" si="31"/>
        <v>2.2447909297082274</v>
      </c>
      <c r="F197">
        <f t="shared" si="32"/>
        <v>2.2000000000000002</v>
      </c>
      <c r="G197">
        <f t="shared" si="33"/>
        <v>0.80922061361874886</v>
      </c>
    </row>
    <row r="198" spans="1:7" x14ac:dyDescent="0.25">
      <c r="A198">
        <f t="shared" si="34"/>
        <v>3940</v>
      </c>
      <c r="B198">
        <f t="shared" si="28"/>
        <v>0.19911086561977159</v>
      </c>
      <c r="C198">
        <f t="shared" si="29"/>
        <v>11.408212255209397</v>
      </c>
      <c r="D198">
        <f t="shared" si="30"/>
        <v>1.0201553790163955</v>
      </c>
      <c r="E198">
        <f t="shared" si="31"/>
        <v>2.2443418338360699</v>
      </c>
      <c r="F198">
        <f t="shared" si="32"/>
        <v>2.1999999999999997</v>
      </c>
      <c r="G198">
        <f t="shared" si="33"/>
        <v>0.8090587198617708</v>
      </c>
    </row>
    <row r="199" spans="1:7" x14ac:dyDescent="0.25">
      <c r="A199">
        <f t="shared" si="34"/>
        <v>3960</v>
      </c>
      <c r="B199">
        <f t="shared" si="28"/>
        <v>0.19813143039683034</v>
      </c>
      <c r="C199">
        <f t="shared" si="29"/>
        <v>11.352094750628407</v>
      </c>
      <c r="D199">
        <f t="shared" si="30"/>
        <v>1.0199542897246148</v>
      </c>
      <c r="E199">
        <f t="shared" si="31"/>
        <v>2.2438994373941528</v>
      </c>
      <c r="F199">
        <f t="shared" si="32"/>
        <v>2.2000000000000002</v>
      </c>
      <c r="G199">
        <f t="shared" si="33"/>
        <v>0.80889924117025735</v>
      </c>
    </row>
    <row r="200" spans="1:7" x14ac:dyDescent="0.25">
      <c r="A200">
        <f t="shared" si="34"/>
        <v>3980</v>
      </c>
      <c r="B200">
        <f t="shared" si="28"/>
        <v>0.197161459190872</v>
      </c>
      <c r="C200">
        <f t="shared" si="29"/>
        <v>11.29651949427778</v>
      </c>
      <c r="D200">
        <f t="shared" si="30"/>
        <v>1.0197561855428898</v>
      </c>
      <c r="E200">
        <f t="shared" si="31"/>
        <v>2.2434636081943578</v>
      </c>
      <c r="F200">
        <f t="shared" si="32"/>
        <v>2.2000000000000002</v>
      </c>
      <c r="G200">
        <f t="shared" si="33"/>
        <v>0.80874212989195371</v>
      </c>
    </row>
    <row r="201" spans="1:7" x14ac:dyDescent="0.25">
      <c r="A201">
        <f t="shared" si="34"/>
        <v>4000</v>
      </c>
      <c r="B201">
        <f t="shared" si="28"/>
        <v>0.19620081728811647</v>
      </c>
      <c r="C201">
        <f t="shared" si="29"/>
        <v>11.241478767626472</v>
      </c>
      <c r="D201">
        <f t="shared" si="30"/>
        <v>1.01956100785603</v>
      </c>
      <c r="E201">
        <f t="shared" si="31"/>
        <v>2.2430342172832662</v>
      </c>
      <c r="F201">
        <f t="shared" si="32"/>
        <v>2.2000000000000002</v>
      </c>
      <c r="G201">
        <f t="shared" si="33"/>
        <v>0.80858733954067541</v>
      </c>
    </row>
    <row r="202" spans="1:7" x14ac:dyDescent="0.25">
      <c r="A202">
        <f t="shared" si="34"/>
        <v>4020</v>
      </c>
      <c r="B202">
        <f t="shared" si="28"/>
        <v>0.1952493724848795</v>
      </c>
      <c r="C202">
        <f t="shared" si="29"/>
        <v>11.186964995961338</v>
      </c>
      <c r="D202">
        <f t="shared" si="30"/>
        <v>1.0193686994763211</v>
      </c>
      <c r="E202">
        <f t="shared" si="31"/>
        <v>2.2426111388479066</v>
      </c>
      <c r="F202">
        <f t="shared" si="32"/>
        <v>2.2000000000000002</v>
      </c>
      <c r="G202">
        <f t="shared" si="33"/>
        <v>0.80843482476233253</v>
      </c>
    </row>
    <row r="203" spans="1:7" x14ac:dyDescent="0.25">
      <c r="A203">
        <f t="shared" si="34"/>
        <v>4040</v>
      </c>
      <c r="B203">
        <f t="shared" si="28"/>
        <v>0.19430699503021051</v>
      </c>
      <c r="C203">
        <f t="shared" si="29"/>
        <v>11.132970745100524</v>
      </c>
      <c r="D203">
        <f t="shared" si="30"/>
        <v>1.0191792046021277</v>
      </c>
      <c r="E203">
        <f t="shared" si="31"/>
        <v>2.242194250124681</v>
      </c>
      <c r="F203">
        <f t="shared" si="32"/>
        <v>2.2000000000000002</v>
      </c>
      <c r="G203">
        <f t="shared" si="33"/>
        <v>0.80828454130209815</v>
      </c>
    </row>
    <row r="204" spans="1:7" x14ac:dyDescent="0.25">
      <c r="A204">
        <f t="shared" si="34"/>
        <v>4060</v>
      </c>
      <c r="B204">
        <f t="shared" si="28"/>
        <v>0.19337355757007235</v>
      </c>
      <c r="C204">
        <f t="shared" si="29"/>
        <v>11.079488718195197</v>
      </c>
      <c r="D204">
        <f t="shared" si="30"/>
        <v>1.018992468777886</v>
      </c>
      <c r="E204">
        <f t="shared" si="31"/>
        <v>2.2417834313113496</v>
      </c>
      <c r="F204">
        <f t="shared" si="32"/>
        <v>2.2000000000000006</v>
      </c>
      <c r="G204">
        <f t="shared" si="33"/>
        <v>0.80813644597267986</v>
      </c>
    </row>
    <row r="205" spans="1:7" x14ac:dyDescent="0.25">
      <c r="A205">
        <f t="shared" si="34"/>
        <v>4080</v>
      </c>
      <c r="B205">
        <f t="shared" si="28"/>
        <v>0.19244893509301583</v>
      </c>
      <c r="C205">
        <f t="shared" si="29"/>
        <v>11.026511752616926</v>
      </c>
      <c r="D205">
        <f t="shared" si="30"/>
        <v>1.0188084388554348</v>
      </c>
      <c r="E205">
        <f t="shared" si="31"/>
        <v>2.2413785654819569</v>
      </c>
      <c r="F205">
        <f t="shared" si="32"/>
        <v>2.2000000000000002</v>
      </c>
      <c r="G205">
        <f t="shared" si="33"/>
        <v>0.80799049662365208</v>
      </c>
    </row>
    <row r="206" spans="1:7" x14ac:dyDescent="0.25">
      <c r="A206">
        <f t="shared" si="34"/>
        <v>4100</v>
      </c>
      <c r="B206">
        <f t="shared" si="28"/>
        <v>0.19153300487730326</v>
      </c>
      <c r="C206">
        <f t="shared" si="29"/>
        <v>10.974032816928089</v>
      </c>
      <c r="D206">
        <f t="shared" si="30"/>
        <v>1.0186270629566316</v>
      </c>
      <c r="E206">
        <f t="shared" si="31"/>
        <v>2.2409795385045896</v>
      </c>
      <c r="F206">
        <f t="shared" si="32"/>
        <v>2.2000000000000002</v>
      </c>
      <c r="G206">
        <f t="shared" si="33"/>
        <v>0.80784665211180817</v>
      </c>
    </row>
    <row r="207" spans="1:7" x14ac:dyDescent="0.25">
      <c r="A207">
        <f t="shared" si="34"/>
        <v>4120</v>
      </c>
      <c r="B207">
        <f t="shared" si="28"/>
        <v>0.19062564643943666</v>
      </c>
      <c r="C207">
        <f t="shared" si="29"/>
        <v>10.922045007932748</v>
      </c>
      <c r="D207">
        <f t="shared" si="30"/>
        <v>1.0184482904372074</v>
      </c>
      <c r="E207">
        <f t="shared" si="31"/>
        <v>2.2405862389618565</v>
      </c>
      <c r="F207">
        <f t="shared" si="32"/>
        <v>2.2000000000000002</v>
      </c>
      <c r="G207">
        <f t="shared" si="33"/>
        <v>0.80770487227249466</v>
      </c>
    </row>
    <row r="208" spans="1:7" x14ac:dyDescent="0.25">
      <c r="A208">
        <f t="shared" si="34"/>
        <v>4140</v>
      </c>
      <c r="B208">
        <f t="shared" si="28"/>
        <v>0.18972674148404836</v>
      </c>
      <c r="C208">
        <f t="shared" si="29"/>
        <v>10.870541547805605</v>
      </c>
      <c r="D208">
        <f t="shared" si="30"/>
        <v>1.0182720718518126</v>
      </c>
      <c r="E208">
        <f t="shared" si="31"/>
        <v>2.2401985580739878</v>
      </c>
      <c r="F208">
        <f t="shared" si="32"/>
        <v>2.2000000000000002</v>
      </c>
      <c r="G208">
        <f t="shared" si="33"/>
        <v>0.80756511789188956</v>
      </c>
    </row>
    <row r="209" spans="1:7" x14ac:dyDescent="0.25">
      <c r="A209">
        <f t="shared" si="34"/>
        <v>4160</v>
      </c>
      <c r="B209">
        <f t="shared" si="28"/>
        <v>0.1888361738551122</v>
      </c>
      <c r="C209">
        <f t="shared" si="29"/>
        <v>10.819515781296589</v>
      </c>
      <c r="D209">
        <f t="shared" si="30"/>
        <v>1.0180983589202095</v>
      </c>
      <c r="E209">
        <f t="shared" si="31"/>
        <v>2.2398163896244614</v>
      </c>
      <c r="F209">
        <f t="shared" si="32"/>
        <v>2.2000000000000006</v>
      </c>
      <c r="G209">
        <f t="shared" si="33"/>
        <v>0.80742735068019122</v>
      </c>
    </row>
    <row r="210" spans="1:7" x14ac:dyDescent="0.25">
      <c r="A210">
        <f t="shared" si="34"/>
        <v>4180</v>
      </c>
      <c r="B210">
        <f t="shared" si="28"/>
        <v>0.1879538294884362</v>
      </c>
      <c r="C210">
        <f t="shared" si="29"/>
        <v>10.768961173008911</v>
      </c>
      <c r="D210">
        <f t="shared" si="30"/>
        <v>1.0179271044945701</v>
      </c>
      <c r="E210">
        <f t="shared" si="31"/>
        <v>2.2394396298880546</v>
      </c>
      <c r="F210">
        <f t="shared" si="32"/>
        <v>2.2000000000000002</v>
      </c>
      <c r="G210">
        <f t="shared" si="33"/>
        <v>0.80729153324568226</v>
      </c>
    </row>
    <row r="211" spans="1:7" x14ac:dyDescent="0.25">
      <c r="A211">
        <f t="shared" si="34"/>
        <v>4200</v>
      </c>
      <c r="B211">
        <f t="shared" si="28"/>
        <v>0.18707959636539762</v>
      </c>
      <c r="C211">
        <f t="shared" si="29"/>
        <v>10.71887130474826</v>
      </c>
      <c r="D211">
        <f t="shared" si="30"/>
        <v>1.0177582625278345</v>
      </c>
      <c r="E211">
        <f t="shared" si="31"/>
        <v>2.2390681775612364</v>
      </c>
      <c r="F211">
        <f t="shared" si="32"/>
        <v>2.2000000000000006</v>
      </c>
      <c r="G211">
        <f t="shared" si="33"/>
        <v>0.8071576290696364</v>
      </c>
    </row>
    <row r="212" spans="1:7" x14ac:dyDescent="0.25">
      <c r="A212">
        <f t="shared" si="34"/>
        <v>4220</v>
      </c>
      <c r="B212">
        <f t="shared" si="28"/>
        <v>0.1862133644678837</v>
      </c>
      <c r="C212">
        <f t="shared" si="29"/>
        <v>10.669239872941102</v>
      </c>
      <c r="D212">
        <f t="shared" si="30"/>
        <v>1.0175917880430962</v>
      </c>
      <c r="E212">
        <f t="shared" si="31"/>
        <v>2.238701933694812</v>
      </c>
      <c r="F212">
        <f t="shared" si="32"/>
        <v>2.2000000000000002</v>
      </c>
      <c r="G212">
        <f t="shared" si="33"/>
        <v>0.80702560248203759</v>
      </c>
    </row>
    <row r="213" spans="1:7" x14ac:dyDescent="0.25">
      <c r="A213">
        <f t="shared" si="34"/>
        <v>4240</v>
      </c>
      <c r="B213">
        <f t="shared" si="28"/>
        <v>0.18535502573440177</v>
      </c>
      <c r="C213">
        <f t="shared" si="29"/>
        <v>10.620060686119983</v>
      </c>
      <c r="D213">
        <f t="shared" si="30"/>
        <v>1.0174276371039721</v>
      </c>
      <c r="E213">
        <f t="shared" si="31"/>
        <v>2.2383408016287389</v>
      </c>
      <c r="F213">
        <f t="shared" si="32"/>
        <v>2.2000000000000002</v>
      </c>
      <c r="G213">
        <f t="shared" si="33"/>
        <v>0.80689541863808245</v>
      </c>
    </row>
    <row r="214" spans="1:7" x14ac:dyDescent="0.25">
      <c r="A214">
        <f t="shared" si="34"/>
        <v>4260</v>
      </c>
      <c r="B214">
        <f t="shared" si="28"/>
        <v>0.18450447401732425</v>
      </c>
      <c r="C214">
        <f t="shared" si="29"/>
        <v>10.571327662473836</v>
      </c>
      <c r="D214">
        <f t="shared" si="30"/>
        <v>1.0172657667859231</v>
      </c>
      <c r="E214">
        <f t="shared" si="31"/>
        <v>2.237984686929031</v>
      </c>
      <c r="F214">
        <f t="shared" si="32"/>
        <v>2.2000000000000002</v>
      </c>
      <c r="G214">
        <f t="shared" si="33"/>
        <v>0.80676704349543438</v>
      </c>
    </row>
    <row r="215" spans="1:7" x14ac:dyDescent="0.25">
      <c r="A215">
        <f t="shared" si="34"/>
        <v>4280</v>
      </c>
      <c r="B215">
        <f t="shared" si="28"/>
        <v>0.18366160504123485</v>
      </c>
      <c r="C215">
        <f t="shared" si="29"/>
        <v>10.5230348274614</v>
      </c>
      <c r="D215">
        <f t="shared" si="30"/>
        <v>1.0171061351484898</v>
      </c>
      <c r="E215">
        <f t="shared" si="31"/>
        <v>2.2376334973266778</v>
      </c>
      <c r="F215">
        <f t="shared" si="32"/>
        <v>2.2000000000000002</v>
      </c>
      <c r="G215">
        <f t="shared" si="33"/>
        <v>0.80664044379220512</v>
      </c>
    </row>
    <row r="216" spans="1:7" x14ac:dyDescent="0.25">
      <c r="A216">
        <f t="shared" si="34"/>
        <v>4300</v>
      </c>
      <c r="B216">
        <f t="shared" si="28"/>
        <v>0.18282631636234351</v>
      </c>
      <c r="C216">
        <f t="shared" si="29"/>
        <v>10.475176311485869</v>
      </c>
      <c r="D216">
        <f t="shared" si="30"/>
        <v>1.0169487012084133</v>
      </c>
      <c r="E216">
        <f t="shared" si="31"/>
        <v>2.2372871426585093</v>
      </c>
      <c r="F216">
        <f t="shared" si="32"/>
        <v>2.2000000000000002</v>
      </c>
      <c r="G216">
        <f t="shared" si="33"/>
        <v>0.80651558702563697</v>
      </c>
    </row>
    <row r="217" spans="1:7" x14ac:dyDescent="0.25">
      <c r="A217">
        <f t="shared" si="34"/>
        <v>4320</v>
      </c>
      <c r="B217">
        <f t="shared" si="28"/>
        <v>0.18199850732893855</v>
      </c>
      <c r="C217">
        <f t="shared" si="29"/>
        <v>10.427746347628961</v>
      </c>
      <c r="D217">
        <f t="shared" si="30"/>
        <v>1.0167934249136026</v>
      </c>
      <c r="E217">
        <f t="shared" si="31"/>
        <v>2.2369455348099256</v>
      </c>
      <c r="F217">
        <f t="shared" si="32"/>
        <v>2.2000000000000002</v>
      </c>
      <c r="G217">
        <f t="shared" si="33"/>
        <v>0.80639244143145739</v>
      </c>
    </row>
    <row r="218" spans="1:7" x14ac:dyDescent="0.25">
      <c r="A218">
        <f t="shared" si="34"/>
        <v>4340</v>
      </c>
      <c r="B218">
        <f t="shared" si="28"/>
        <v>0.18117807904284616</v>
      </c>
      <c r="C218">
        <f t="shared" si="29"/>
        <v>10.380739269442714</v>
      </c>
      <c r="D218">
        <f t="shared" si="30"/>
        <v>1.016640267117926</v>
      </c>
      <c r="E218">
        <f t="shared" si="31"/>
        <v>2.236608587659437</v>
      </c>
      <c r="F218">
        <f t="shared" si="32"/>
        <v>2.1999999999999997</v>
      </c>
      <c r="G218">
        <f t="shared" si="33"/>
        <v>0.80627097596388664</v>
      </c>
    </row>
    <row r="219" spans="1:7" x14ac:dyDescent="0.25">
      <c r="A219">
        <f t="shared" si="34"/>
        <v>4360</v>
      </c>
      <c r="B219">
        <f t="shared" si="28"/>
        <v>0.18036493432186712</v>
      </c>
      <c r="C219">
        <f t="shared" si="29"/>
        <v>10.334149508797273</v>
      </c>
      <c r="D219">
        <f t="shared" si="30"/>
        <v>1.0164891895567905</v>
      </c>
      <c r="E219">
        <f t="shared" si="31"/>
        <v>2.2362762170249391</v>
      </c>
      <c r="F219">
        <f t="shared" si="32"/>
        <v>2.2000000000000002</v>
      </c>
      <c r="G219">
        <f t="shared" si="33"/>
        <v>0.80615116027627054</v>
      </c>
    </row>
    <row r="220" spans="1:7" x14ac:dyDescent="0.25">
      <c r="A220">
        <f t="shared" si="34"/>
        <v>4380</v>
      </c>
      <c r="B220">
        <f t="shared" si="28"/>
        <v>0.17955897766316284</v>
      </c>
      <c r="C220">
        <f t="shared" si="29"/>
        <v>10.28797159378305</v>
      </c>
      <c r="D220">
        <f t="shared" si="30"/>
        <v>1.0163401548234858</v>
      </c>
      <c r="E220">
        <f t="shared" si="31"/>
        <v>2.2359483406116691</v>
      </c>
      <c r="F220">
        <f t="shared" si="32"/>
        <v>2.2000000000000002</v>
      </c>
      <c r="G220">
        <f t="shared" si="33"/>
        <v>0.80603296470231933</v>
      </c>
    </row>
    <row r="221" spans="1:7" x14ac:dyDescent="0.25">
      <c r="A221">
        <f t="shared" si="34"/>
        <v>4400</v>
      </c>
      <c r="B221">
        <f t="shared" si="28"/>
        <v>0.1787601152075633</v>
      </c>
      <c r="C221">
        <f t="shared" si="29"/>
        <v>10.242200146665741</v>
      </c>
      <c r="D221">
        <f t="shared" si="30"/>
        <v>1.0161931263462627</v>
      </c>
      <c r="E221">
        <f t="shared" si="31"/>
        <v>2.235624877961778</v>
      </c>
      <c r="F221">
        <f t="shared" si="32"/>
        <v>2.2000000000000002</v>
      </c>
      <c r="G221">
        <f t="shared" si="33"/>
        <v>0.80591636023792868</v>
      </c>
    </row>
    <row r="222" spans="1:7" x14ac:dyDescent="0.25">
      <c r="A222">
        <f t="shared" si="34"/>
        <v>4420</v>
      </c>
      <c r="B222">
        <f t="shared" si="28"/>
        <v>0.17796825470476993</v>
      </c>
      <c r="C222">
        <f t="shared" si="29"/>
        <v>10.196829881892574</v>
      </c>
      <c r="D222">
        <f t="shared" si="30"/>
        <v>1.0160480683661213</v>
      </c>
      <c r="E222">
        <f t="shared" si="31"/>
        <v>2.235305750405467</v>
      </c>
      <c r="F222">
        <f t="shared" si="32"/>
        <v>2.2000000000000002</v>
      </c>
      <c r="G222">
        <f t="shared" si="33"/>
        <v>0.8058013185235654</v>
      </c>
    </row>
    <row r="223" spans="1:7" x14ac:dyDescent="0.25">
      <c r="A223">
        <f t="shared" si="34"/>
        <v>4440</v>
      </c>
      <c r="B223">
        <f t="shared" si="28"/>
        <v>0.17718330547942771</v>
      </c>
      <c r="C223">
        <f t="shared" si="29"/>
        <v>10.1518556041484</v>
      </c>
      <c r="D223">
        <f t="shared" si="30"/>
        <v>1.0159049459152849</v>
      </c>
      <c r="E223">
        <f t="shared" si="31"/>
        <v>2.2349908810136272</v>
      </c>
      <c r="F223">
        <f t="shared" si="32"/>
        <v>2.2000000000000002</v>
      </c>
      <c r="G223">
        <f t="shared" si="33"/>
        <v>0.80568781182719462</v>
      </c>
    </row>
    <row r="224" spans="1:7" x14ac:dyDescent="0.25">
      <c r="A224">
        <f t="shared" si="34"/>
        <v>4460</v>
      </c>
      <c r="B224">
        <f t="shared" si="28"/>
        <v>0.17640517839804234</v>
      </c>
      <c r="C224">
        <f t="shared" si="29"/>
        <v>10.107272206460186</v>
      </c>
      <c r="D224">
        <f t="shared" si="30"/>
        <v>1.0157637247963329</v>
      </c>
      <c r="E224">
        <f t="shared" si="31"/>
        <v>2.2346801945519328</v>
      </c>
      <c r="F224">
        <f t="shared" si="32"/>
        <v>2.2000000000000002</v>
      </c>
      <c r="G224">
        <f t="shared" si="33"/>
        <v>0.80557581302773051</v>
      </c>
    </row>
    <row r="225" spans="1:7" x14ac:dyDescent="0.25">
      <c r="A225">
        <f t="shared" si="34"/>
        <v>4480</v>
      </c>
      <c r="B225">
        <f t="shared" si="28"/>
        <v>0.17563378583671724</v>
      </c>
      <c r="C225">
        <f t="shared" si="29"/>
        <v>10.063074668348472</v>
      </c>
      <c r="D225">
        <f t="shared" si="30"/>
        <v>1.0156243715619733</v>
      </c>
      <c r="E225">
        <f t="shared" si="31"/>
        <v>2.2343736174363413</v>
      </c>
      <c r="F225">
        <f t="shared" si="32"/>
        <v>2.2000000000000002</v>
      </c>
      <c r="G225">
        <f t="shared" si="33"/>
        <v>0.80546529559899482</v>
      </c>
    </row>
    <row r="226" spans="1:7" x14ac:dyDescent="0.25">
      <c r="A226">
        <f t="shared" si="34"/>
        <v>4500</v>
      </c>
      <c r="B226">
        <f t="shared" si="28"/>
        <v>0.17486904164968772</v>
      </c>
      <c r="C226">
        <f t="shared" si="29"/>
        <v>10.019258054024517</v>
      </c>
      <c r="D226">
        <f t="shared" si="30"/>
        <v>1.0154868534954293</v>
      </c>
      <c r="E226">
        <f t="shared" si="31"/>
        <v>2.2340710776899444</v>
      </c>
      <c r="F226">
        <f t="shared" si="32"/>
        <v>2.1999999999999997</v>
      </c>
      <c r="G226">
        <f t="shared" si="33"/>
        <v>0.80535623359416253</v>
      </c>
    </row>
    <row r="227" spans="1:7" x14ac:dyDescent="0.25">
      <c r="A227">
        <f t="shared" si="34"/>
        <v>4520</v>
      </c>
      <c r="B227">
        <f t="shared" si="28"/>
        <v>0.17411086113862995</v>
      </c>
      <c r="C227">
        <f t="shared" si="29"/>
        <v>9.9758175106318348</v>
      </c>
      <c r="D227">
        <f t="shared" si="30"/>
        <v>1.0153511385914205</v>
      </c>
      <c r="E227">
        <f t="shared" si="31"/>
        <v>2.233772504901125</v>
      </c>
      <c r="F227">
        <f t="shared" si="32"/>
        <v>2.2000000000000002</v>
      </c>
      <c r="G227">
        <f t="shared" si="33"/>
        <v>0.80524860163067735</v>
      </c>
    </row>
    <row r="228" spans="1:7" x14ac:dyDescent="0.25">
      <c r="A228">
        <f t="shared" si="34"/>
        <v>4540</v>
      </c>
      <c r="B228">
        <f t="shared" si="28"/>
        <v>0.17335916102272214</v>
      </c>
      <c r="C228">
        <f t="shared" si="29"/>
        <v>9.9327482665308224</v>
      </c>
      <c r="D228">
        <f t="shared" si="30"/>
        <v>1.0152171955377192</v>
      </c>
      <c r="E228">
        <f t="shared" si="31"/>
        <v>2.2334778301829825</v>
      </c>
      <c r="F228">
        <f t="shared" si="32"/>
        <v>2.2000000000000002</v>
      </c>
      <c r="G228">
        <f t="shared" si="33"/>
        <v>0.80514237487562523</v>
      </c>
    </row>
    <row r="229" spans="1:7" x14ac:dyDescent="0.25">
      <c r="A229">
        <f t="shared" si="34"/>
        <v>4560</v>
      </c>
      <c r="B229">
        <f t="shared" si="28"/>
        <v>0.17261385940943738</v>
      </c>
      <c r="C229">
        <f t="shared" si="29"/>
        <v>9.8900456296253143</v>
      </c>
      <c r="D229">
        <f t="shared" si="30"/>
        <v>1.0150849936972597</v>
      </c>
      <c r="E229">
        <f t="shared" si="31"/>
        <v>2.2331869861339713</v>
      </c>
      <c r="F229">
        <f t="shared" si="32"/>
        <v>2.2000000000000002</v>
      </c>
      <c r="G229">
        <f t="shared" si="33"/>
        <v>0.80503752903154535</v>
      </c>
    </row>
    <row r="230" spans="1:7" x14ac:dyDescent="0.25">
      <c r="A230">
        <f t="shared" si="34"/>
        <v>4580</v>
      </c>
      <c r="B230">
        <f t="shared" si="28"/>
        <v>0.17187487576604726</v>
      </c>
      <c r="C230">
        <f t="shared" si="29"/>
        <v>9.8477049857298606</v>
      </c>
      <c r="D230">
        <f t="shared" si="30"/>
        <v>1.0149545030907821</v>
      </c>
      <c r="E230">
        <f t="shared" si="31"/>
        <v>2.2328999067997208</v>
      </c>
      <c r="F230">
        <f t="shared" si="32"/>
        <v>2.2000000000000002</v>
      </c>
      <c r="G230">
        <f t="shared" si="33"/>
        <v>0.80493404032266602</v>
      </c>
    </row>
    <row r="231" spans="1:7" x14ac:dyDescent="0.25">
      <c r="A231">
        <f t="shared" si="34"/>
        <v>4600</v>
      </c>
      <c r="B231">
        <f t="shared" si="28"/>
        <v>0.17114213089181682</v>
      </c>
      <c r="C231">
        <f t="shared" si="29"/>
        <v>9.8057217969766111</v>
      </c>
      <c r="D231">
        <f t="shared" si="30"/>
        <v>1.0148256943799956</v>
      </c>
      <c r="E231">
        <f t="shared" si="31"/>
        <v>2.2326165276359902</v>
      </c>
      <c r="F231">
        <f t="shared" si="32"/>
        <v>2.1999999999999997</v>
      </c>
      <c r="G231">
        <f t="shared" si="33"/>
        <v>0.80483188548155093</v>
      </c>
    </row>
    <row r="232" spans="1:7" x14ac:dyDescent="0.25">
      <c r="A232">
        <f t="shared" si="34"/>
        <v>4620</v>
      </c>
      <c r="B232">
        <f t="shared" si="28"/>
        <v>0.17041554689087104</v>
      </c>
      <c r="C232">
        <f t="shared" si="29"/>
        <v>9.7640916002606897</v>
      </c>
      <c r="D232">
        <f t="shared" si="30"/>
        <v>1.0146985388512395</v>
      </c>
      <c r="E232">
        <f t="shared" si="31"/>
        <v>2.232336785472727</v>
      </c>
      <c r="F232">
        <f t="shared" si="32"/>
        <v>2.2000000000000002</v>
      </c>
      <c r="G232">
        <f t="shared" si="33"/>
        <v>0.80473104173614241</v>
      </c>
    </row>
    <row r="233" spans="1:7" x14ac:dyDescent="0.25">
      <c r="A233">
        <f t="shared" si="34"/>
        <v>4640</v>
      </c>
      <c r="B233">
        <f t="shared" si="28"/>
        <v>0.16969504714571457</v>
      </c>
      <c r="C233">
        <f t="shared" si="29"/>
        <v>9.7228100057229714</v>
      </c>
      <c r="D233">
        <f t="shared" si="30"/>
        <v>1.0145730083996274</v>
      </c>
      <c r="E233">
        <f t="shared" si="31"/>
        <v>2.2320606184791805</v>
      </c>
      <c r="F233">
        <f t="shared" si="32"/>
        <v>2.2000000000000002</v>
      </c>
      <c r="G233">
        <f t="shared" si="33"/>
        <v>0.80463148679718521</v>
      </c>
    </row>
    <row r="234" spans="1:7" x14ac:dyDescent="0.25">
      <c r="A234">
        <f t="shared" si="34"/>
        <v>4660</v>
      </c>
      <c r="B234">
        <f t="shared" si="28"/>
        <v>0.16898055629138684</v>
      </c>
      <c r="C234">
        <f t="shared" si="29"/>
        <v>9.6818726952692966</v>
      </c>
      <c r="D234">
        <f t="shared" si="30"/>
        <v>1.0144490755136586</v>
      </c>
      <c r="E234">
        <f t="shared" si="31"/>
        <v>2.2317879661300495</v>
      </c>
      <c r="F234">
        <f t="shared" si="32"/>
        <v>2.2000000000000006</v>
      </c>
      <c r="G234">
        <f t="shared" si="33"/>
        <v>0.80453319884602303</v>
      </c>
    </row>
    <row r="235" spans="1:7" x14ac:dyDescent="0.25">
      <c r="A235">
        <f t="shared" si="34"/>
        <v>4680</v>
      </c>
      <c r="B235">
        <f t="shared" si="28"/>
        <v>0.16827200019023444</v>
      </c>
      <c r="C235">
        <f t="shared" si="29"/>
        <v>9.6412754211250196</v>
      </c>
      <c r="D235">
        <f t="shared" si="30"/>
        <v>1.0143267132602798</v>
      </c>
      <c r="E235">
        <f t="shared" si="31"/>
        <v>2.2315187691726157</v>
      </c>
      <c r="F235">
        <f t="shared" si="32"/>
        <v>2.2000000000000002</v>
      </c>
      <c r="G235">
        <f t="shared" si="33"/>
        <v>0.80443615652275102</v>
      </c>
    </row>
    <row r="236" spans="1:7" x14ac:dyDescent="0.25">
      <c r="A236">
        <f t="shared" si="34"/>
        <v>4700</v>
      </c>
      <c r="B236">
        <f t="shared" si="28"/>
        <v>0.16756930590728469</v>
      </c>
      <c r="C236">
        <f t="shared" si="29"/>
        <v>9.6010140044240266</v>
      </c>
      <c r="D236">
        <f t="shared" si="30"/>
        <v>1.0142058952703823</v>
      </c>
      <c r="E236">
        <f t="shared" si="31"/>
        <v>2.2312529695948413</v>
      </c>
      <c r="F236">
        <f t="shared" si="32"/>
        <v>2.2000000000000002</v>
      </c>
      <c r="G236">
        <f t="shared" si="33"/>
        <v>0.80434033891471468</v>
      </c>
    </row>
    <row r="237" spans="1:7" x14ac:dyDescent="0.25">
      <c r="A237">
        <f t="shared" si="34"/>
        <v>4720</v>
      </c>
      <c r="B237">
        <f t="shared" si="28"/>
        <v>0.16687240168620288</v>
      </c>
      <c r="C237">
        <f t="shared" si="29"/>
        <v>9.5610843338311877</v>
      </c>
      <c r="D237">
        <f t="shared" si="30"/>
        <v>1.0140865957247229</v>
      </c>
      <c r="E237">
        <f t="shared" si="31"/>
        <v>2.2309905105943906</v>
      </c>
      <c r="F237">
        <f t="shared" si="32"/>
        <v>2.2000000000000002</v>
      </c>
      <c r="G237">
        <f t="shared" si="33"/>
        <v>0.80424572554534313</v>
      </c>
    </row>
    <row r="238" spans="1:7" x14ac:dyDescent="0.25">
      <c r="A238">
        <f t="shared" si="34"/>
        <v>4740</v>
      </c>
      <c r="B238">
        <f t="shared" si="28"/>
        <v>0.16618121692581833</v>
      </c>
      <c r="C238">
        <f t="shared" si="29"/>
        <v>9.5214823641973911</v>
      </c>
      <c r="D238">
        <f t="shared" si="30"/>
        <v>1.0139687893402496</v>
      </c>
      <c r="E238">
        <f t="shared" si="31"/>
        <v>2.230731336548549</v>
      </c>
      <c r="F238">
        <f t="shared" si="32"/>
        <v>2.2000000000000002</v>
      </c>
      <c r="G238">
        <f t="shared" si="33"/>
        <v>0.80415229636330465</v>
      </c>
    </row>
    <row r="239" spans="1:7" x14ac:dyDescent="0.25">
      <c r="A239">
        <f t="shared" si="34"/>
        <v>4760</v>
      </c>
      <c r="B239">
        <f t="shared" si="28"/>
        <v>0.16549568215720317</v>
      </c>
      <c r="C239">
        <f t="shared" si="29"/>
        <v>9.4822041152462653</v>
      </c>
      <c r="D239">
        <f t="shared" si="30"/>
        <v>1.0138524513568232</v>
      </c>
      <c r="E239">
        <f t="shared" si="31"/>
        <v>2.2304753929850114</v>
      </c>
      <c r="F239">
        <f t="shared" si="32"/>
        <v>2.2000000000000002</v>
      </c>
      <c r="G239">
        <f t="shared" si="33"/>
        <v>0.80406003173197682</v>
      </c>
    </row>
    <row r="240" spans="1:7" x14ac:dyDescent="0.25">
      <c r="A240">
        <f t="shared" si="34"/>
        <v>4780</v>
      </c>
      <c r="B240">
        <f t="shared" si="28"/>
        <v>0.16481572902128905</v>
      </c>
      <c r="C240">
        <f t="shared" si="29"/>
        <v>9.4432456702917005</v>
      </c>
      <c r="D240">
        <f t="shared" si="30"/>
        <v>1.0137375575243204</v>
      </c>
      <c r="E240">
        <f t="shared" si="31"/>
        <v>2.230222626553505</v>
      </c>
      <c r="F240">
        <f t="shared" si="32"/>
        <v>2.2000000000000002</v>
      </c>
      <c r="G240">
        <f t="shared" si="33"/>
        <v>0.80396891241921642</v>
      </c>
    </row>
    <row r="241" spans="1:7" x14ac:dyDescent="0.25">
      <c r="A241">
        <f t="shared" si="34"/>
        <v>4800</v>
      </c>
      <c r="B241">
        <f t="shared" si="28"/>
        <v>0.16414129024700727</v>
      </c>
      <c r="C241">
        <f t="shared" si="29"/>
        <v>9.4046031749853789</v>
      </c>
      <c r="D241">
        <f t="shared" si="30"/>
        <v>1.0136240840901041</v>
      </c>
      <c r="E241">
        <f t="shared" si="31"/>
        <v>2.2299729849982293</v>
      </c>
      <c r="F241">
        <f t="shared" si="32"/>
        <v>2.2000000000000002</v>
      </c>
      <c r="G241">
        <f t="shared" si="33"/>
        <v>0.80387891958742463</v>
      </c>
    </row>
    <row r="242" spans="1:7" x14ac:dyDescent="0.25">
      <c r="A242">
        <f t="shared" si="34"/>
        <v>4820</v>
      </c>
      <c r="B242">
        <f t="shared" si="28"/>
        <v>0.16347229962993839</v>
      </c>
      <c r="C242">
        <f t="shared" si="29"/>
        <v>9.3662728360934793</v>
      </c>
      <c r="D242">
        <f t="shared" si="30"/>
        <v>1.0135120077868527</v>
      </c>
      <c r="E242">
        <f t="shared" si="31"/>
        <v>2.2297264171310762</v>
      </c>
      <c r="F242">
        <f t="shared" si="32"/>
        <v>2.2000000000000002</v>
      </c>
      <c r="G242">
        <f t="shared" si="33"/>
        <v>0.80379003478389321</v>
      </c>
    </row>
    <row r="243" spans="1:7" x14ac:dyDescent="0.25">
      <c r="A243">
        <f t="shared" si="34"/>
        <v>4840</v>
      </c>
      <c r="B243">
        <f t="shared" si="28"/>
        <v>0.16280869201145734</v>
      </c>
      <c r="C243">
        <f t="shared" si="29"/>
        <v>9.3282509203017874</v>
      </c>
      <c r="D243">
        <f t="shared" si="30"/>
        <v>1.0134013058207327</v>
      </c>
      <c r="E243">
        <f t="shared" si="31"/>
        <v>2.2294828728056122</v>
      </c>
      <c r="F243">
        <f t="shared" si="32"/>
        <v>2.2000000000000002</v>
      </c>
      <c r="G243">
        <f t="shared" si="33"/>
        <v>0.80370223993142509</v>
      </c>
    </row>
    <row r="244" spans="1:7" x14ac:dyDescent="0.25">
      <c r="A244">
        <f t="shared" si="34"/>
        <v>4860</v>
      </c>
      <c r="B244">
        <f t="shared" si="28"/>
        <v>0.16215040325836133</v>
      </c>
      <c r="C244">
        <f t="shared" si="29"/>
        <v>9.2905337530484555</v>
      </c>
      <c r="D244">
        <f t="shared" si="30"/>
        <v>1.0132919558599076</v>
      </c>
      <c r="E244">
        <f t="shared" si="31"/>
        <v>2.2292423028917971</v>
      </c>
      <c r="F244">
        <f t="shared" si="32"/>
        <v>2.2000000000000002</v>
      </c>
      <c r="G244">
        <f t="shared" si="33"/>
        <v>0.80361551731922132</v>
      </c>
    </row>
    <row r="245" spans="1:7" x14ac:dyDescent="0.25">
      <c r="A245">
        <f t="shared" si="34"/>
        <v>4880</v>
      </c>
      <c r="B245">
        <f t="shared" si="28"/>
        <v>0.16149737024296704</v>
      </c>
      <c r="C245">
        <f t="shared" si="29"/>
        <v>9.2531177173836614</v>
      </c>
      <c r="D245">
        <f t="shared" si="30"/>
        <v>1.0131839360233681</v>
      </c>
      <c r="E245">
        <f t="shared" si="31"/>
        <v>2.2290046592514101</v>
      </c>
      <c r="F245">
        <f t="shared" si="32"/>
        <v>2.2000000000000002</v>
      </c>
      <c r="G245">
        <f t="shared" si="33"/>
        <v>0.80352984959402185</v>
      </c>
    </row>
    <row r="246" spans="1:7" x14ac:dyDescent="0.25">
      <c r="A246">
        <f t="shared" si="34"/>
        <v>4900</v>
      </c>
      <c r="B246">
        <f t="shared" si="28"/>
        <v>0.16084953082366535</v>
      </c>
      <c r="C246">
        <f t="shared" si="29"/>
        <v>9.2159992528554682</v>
      </c>
      <c r="D246">
        <f t="shared" si="30"/>
        <v>1.0130772248700768</v>
      </c>
      <c r="E246">
        <f t="shared" si="31"/>
        <v>2.2287698947141692</v>
      </c>
      <c r="F246">
        <f t="shared" si="32"/>
        <v>2.2000000000000002</v>
      </c>
      <c r="G246">
        <f t="shared" si="33"/>
        <v>0.80344521975149719</v>
      </c>
    </row>
    <row r="247" spans="1:7" x14ac:dyDescent="0.25">
      <c r="A247">
        <f t="shared" si="34"/>
        <v>4920</v>
      </c>
      <c r="B247">
        <f t="shared" si="28"/>
        <v>0.16020682382592097</v>
      </c>
      <c r="C247">
        <f t="shared" si="29"/>
        <v>9.1791748544211913</v>
      </c>
      <c r="D247">
        <f t="shared" si="30"/>
        <v>1.0129718013884161</v>
      </c>
      <c r="E247">
        <f t="shared" si="31"/>
        <v>2.2285379630545159</v>
      </c>
      <c r="F247">
        <f t="shared" si="32"/>
        <v>2.2000000000000002</v>
      </c>
      <c r="G247">
        <f t="shared" si="33"/>
        <v>0.80336161112787952</v>
      </c>
    </row>
    <row r="248" spans="1:7" x14ac:dyDescent="0.25">
      <c r="A248">
        <f t="shared" si="34"/>
        <v>4940</v>
      </c>
      <c r="B248">
        <f t="shared" si="28"/>
        <v>0.15956918902370554</v>
      </c>
      <c r="C248">
        <f t="shared" si="29"/>
        <v>9.1426410713835882</v>
      </c>
      <c r="D248">
        <f t="shared" si="30"/>
        <v>1.0128676449859286</v>
      </c>
      <c r="E248">
        <f t="shared" si="31"/>
        <v>2.228308818969043</v>
      </c>
      <c r="F248">
        <f t="shared" si="32"/>
        <v>2.2000000000000002</v>
      </c>
      <c r="G248">
        <f t="shared" si="33"/>
        <v>0.80327900739182578</v>
      </c>
    </row>
    <row r="249" spans="1:7" x14ac:dyDescent="0.25">
      <c r="A249">
        <f t="shared" si="34"/>
        <v>4960</v>
      </c>
      <c r="B249">
        <f t="shared" si="28"/>
        <v>0.15893656712135285</v>
      </c>
      <c r="C249">
        <f t="shared" si="29"/>
        <v>9.1063945063512417</v>
      </c>
      <c r="D249">
        <f t="shared" si="30"/>
        <v>1.012764735479343</v>
      </c>
      <c r="E249">
        <f t="shared" si="31"/>
        <v>2.2280824180545546</v>
      </c>
      <c r="F249">
        <f t="shared" si="32"/>
        <v>2.2000000000000002</v>
      </c>
      <c r="G249">
        <f t="shared" si="33"/>
        <v>0.80319739253650835</v>
      </c>
    </row>
    <row r="250" spans="1:7" x14ac:dyDescent="0.25">
      <c r="A250">
        <f t="shared" si="34"/>
        <v>4980</v>
      </c>
      <c r="B250">
        <f t="shared" si="28"/>
        <v>0.15830889973582477</v>
      </c>
      <c r="C250">
        <f t="shared" si="29"/>
        <v>9.0704318142224718</v>
      </c>
      <c r="D250">
        <f t="shared" si="30"/>
        <v>1.0126630530848741</v>
      </c>
      <c r="E250">
        <f t="shared" si="31"/>
        <v>2.2278587167867232</v>
      </c>
      <c r="F250">
        <f t="shared" si="32"/>
        <v>2.2000000000000002</v>
      </c>
      <c r="G250">
        <f t="shared" si="33"/>
        <v>0.80311675087192114</v>
      </c>
    </row>
    <row r="251" spans="1:7" x14ac:dyDescent="0.25">
      <c r="A251">
        <f t="shared" si="34"/>
        <v>5000</v>
      </c>
      <c r="B251">
        <f t="shared" si="28"/>
        <v>0.15768612937937793</v>
      </c>
      <c r="C251">
        <f t="shared" si="29"/>
        <v>9.0347497011922098</v>
      </c>
      <c r="D251">
        <f t="shared" si="30"/>
        <v>1.0125625784087906</v>
      </c>
      <c r="E251">
        <f t="shared" si="31"/>
        <v>2.2276376724993394</v>
      </c>
      <c r="F251">
        <f t="shared" si="32"/>
        <v>2.2000000000000002</v>
      </c>
      <c r="G251">
        <f t="shared" si="33"/>
        <v>0.80303706701739985</v>
      </c>
    </row>
    <row r="252" spans="1:7" x14ac:dyDescent="0.25">
      <c r="A252">
        <f t="shared" si="34"/>
        <v>5020</v>
      </c>
      <c r="B252">
        <f t="shared" si="28"/>
        <v>0.15706819944261977</v>
      </c>
      <c r="C252">
        <f t="shared" si="29"/>
        <v>8.999344923781182</v>
      </c>
      <c r="D252">
        <f t="shared" si="30"/>
        <v>1.0124632924382408</v>
      </c>
      <c r="E252">
        <f t="shared" si="31"/>
        <v>2.22741924336413</v>
      </c>
      <c r="F252">
        <f t="shared" si="32"/>
        <v>2.2000000000000002</v>
      </c>
      <c r="G252">
        <f t="shared" si="33"/>
        <v>0.8029583258943459</v>
      </c>
    </row>
    <row r="253" spans="1:7" x14ac:dyDescent="0.25">
      <c r="A253">
        <f t="shared" si="34"/>
        <v>5040</v>
      </c>
      <c r="B253">
        <f t="shared" si="28"/>
        <v>0.15645505417794472</v>
      </c>
      <c r="C253">
        <f t="shared" si="29"/>
        <v>8.96421428788687</v>
      </c>
      <c r="D253">
        <f t="shared" si="30"/>
        <v>1.0123651765323276</v>
      </c>
      <c r="E253">
        <f t="shared" si="31"/>
        <v>2.2272033883711213</v>
      </c>
      <c r="F253">
        <f t="shared" si="32"/>
        <v>2.2000000000000006</v>
      </c>
      <c r="G253">
        <f t="shared" si="33"/>
        <v>0.8028805127191484</v>
      </c>
    </row>
    <row r="254" spans="1:7" x14ac:dyDescent="0.25">
      <c r="A254">
        <f t="shared" si="34"/>
        <v>5060</v>
      </c>
      <c r="B254">
        <f t="shared" si="28"/>
        <v>0.15584663868334042</v>
      </c>
      <c r="C254">
        <f t="shared" si="29"/>
        <v>8.9293546478556802</v>
      </c>
      <c r="D254">
        <f t="shared" si="30"/>
        <v>1.0122682124134283</v>
      </c>
      <c r="E254">
        <f t="shared" si="31"/>
        <v>2.2269900673095426</v>
      </c>
      <c r="F254">
        <f t="shared" si="32"/>
        <v>2.2000000000000002</v>
      </c>
      <c r="G254">
        <f t="shared" si="33"/>
        <v>0.80280361299629943</v>
      </c>
    </row>
    <row r="255" spans="1:7" x14ac:dyDescent="0.25">
      <c r="A255">
        <f t="shared" si="34"/>
        <v>5080</v>
      </c>
      <c r="B255">
        <f t="shared" si="28"/>
        <v>0.15524289888655401</v>
      </c>
      <c r="C255">
        <f t="shared" si="29"/>
        <v>8.8947629055757318</v>
      </c>
      <c r="D255">
        <f t="shared" si="30"/>
        <v>1.0121723821587469</v>
      </c>
      <c r="E255">
        <f t="shared" si="31"/>
        <v>2.2267792407492437</v>
      </c>
      <c r="F255">
        <f t="shared" si="32"/>
        <v>2.2000000000000006</v>
      </c>
      <c r="G255">
        <f t="shared" si="33"/>
        <v>0.80272761251169555</v>
      </c>
    </row>
    <row r="256" spans="1:7" x14ac:dyDescent="0.25">
      <c r="A256">
        <f t="shared" si="34"/>
        <v>5100</v>
      </c>
      <c r="B256">
        <f t="shared" si="28"/>
        <v>0.15464378152961014</v>
      </c>
      <c r="C256">
        <f t="shared" si="29"/>
        <v>8.8604360095898151</v>
      </c>
      <c r="D256">
        <f t="shared" si="30"/>
        <v>1.0120776681920964</v>
      </c>
      <c r="E256">
        <f t="shared" si="31"/>
        <v>2.2265708700226119</v>
      </c>
      <c r="F256">
        <f t="shared" si="32"/>
        <v>2.1999999999999997</v>
      </c>
      <c r="G256">
        <f t="shared" si="33"/>
        <v>0.80265249732611921</v>
      </c>
    </row>
    <row r="257" spans="1:7" x14ac:dyDescent="0.25">
      <c r="A257">
        <f t="shared" si="34"/>
        <v>5120</v>
      </c>
      <c r="B257">
        <f t="shared" ref="B257:B317" si="35">ATAN($I$2^2/($I$3*A257))</f>
        <v>0.15404923415367094</v>
      </c>
      <c r="C257">
        <f t="shared" ref="C257:C317" si="36">B257*180/PI()</f>
        <v>8.8263709542279223</v>
      </c>
      <c r="D257">
        <f t="shared" ref="D257:D317" si="37">_xlfn.SEC(B257)</f>
        <v>1.0119840532758997</v>
      </c>
      <c r="E257">
        <f t="shared" ref="E257:E317" si="38">$I$4/COS(B257)</f>
        <v>2.2263649172069795</v>
      </c>
      <c r="F257">
        <f t="shared" ref="F257:F317" si="39">E257/D257</f>
        <v>2.2000000000000002</v>
      </c>
      <c r="G257">
        <f t="shared" ref="G257:G317" si="40">E257/(0.5*(0.86*10^-4)*$I$2^2*362.88/144)</f>
        <v>0.80257825376889658</v>
      </c>
    </row>
    <row r="258" spans="1:7" x14ac:dyDescent="0.25">
      <c r="A258">
        <f t="shared" si="34"/>
        <v>5140</v>
      </c>
      <c r="B258">
        <f t="shared" si="35"/>
        <v>0.15345920508422972</v>
      </c>
      <c r="C258">
        <f t="shared" si="36"/>
        <v>8.7925647787589085</v>
      </c>
      <c r="D258">
        <f t="shared" si="37"/>
        <v>1.0118915205034076</v>
      </c>
      <c r="E258">
        <f t="shared" si="38"/>
        <v>2.2261613451074966</v>
      </c>
      <c r="F258">
        <f t="shared" si="39"/>
        <v>2.2000000000000002</v>
      </c>
      <c r="G258">
        <f t="shared" si="40"/>
        <v>0.80250486843172375</v>
      </c>
    </row>
    <row r="259" spans="1:7" x14ac:dyDescent="0.25">
      <c r="A259">
        <f t="shared" si="34"/>
        <v>5160</v>
      </c>
      <c r="B259">
        <f t="shared" si="35"/>
        <v>0.15287364341662973</v>
      </c>
      <c r="C259">
        <f t="shared" si="36"/>
        <v>8.7590145665607864</v>
      </c>
      <c r="D259">
        <f t="shared" si="37"/>
        <v>1.0118000532911211</v>
      </c>
      <c r="E259">
        <f t="shared" si="38"/>
        <v>2.2259601172404668</v>
      </c>
      <c r="F259">
        <f t="shared" si="39"/>
        <v>2.2000000000000002</v>
      </c>
      <c r="G259">
        <f t="shared" si="40"/>
        <v>0.80243232816265908</v>
      </c>
    </row>
    <row r="260" spans="1:7" x14ac:dyDescent="0.25">
      <c r="A260">
        <f t="shared" ref="A260:A317" si="41">A259+20</f>
        <v>5180</v>
      </c>
      <c r="B260">
        <f t="shared" si="35"/>
        <v>0.15229249900189962</v>
      </c>
      <c r="C260">
        <f t="shared" si="36"/>
        <v>8.725717444309149</v>
      </c>
      <c r="D260">
        <f t="shared" si="37"/>
        <v>1.0117096353714174</v>
      </c>
      <c r="E260">
        <f t="shared" si="38"/>
        <v>2.2257611978171186</v>
      </c>
      <c r="F260">
        <f t="shared" si="39"/>
        <v>2.2000000000000002</v>
      </c>
      <c r="G260">
        <f t="shared" si="40"/>
        <v>0.80236062006027309</v>
      </c>
    </row>
    <row r="261" spans="1:7" x14ac:dyDescent="0.25">
      <c r="A261">
        <f t="shared" si="41"/>
        <v>5200</v>
      </c>
      <c r="B261">
        <f t="shared" si="35"/>
        <v>0.15171572243289813</v>
      </c>
      <c r="C261">
        <f t="shared" si="36"/>
        <v>8.6926705811833287</v>
      </c>
      <c r="D261">
        <f t="shared" si="37"/>
        <v>1.0116202507853702</v>
      </c>
      <c r="E261">
        <f t="shared" si="38"/>
        <v>2.2255645517278149</v>
      </c>
      <c r="F261">
        <f t="shared" si="39"/>
        <v>2.2000000000000002</v>
      </c>
      <c r="G261">
        <f t="shared" si="40"/>
        <v>0.80228973146795646</v>
      </c>
    </row>
    <row r="262" spans="1:7" x14ac:dyDescent="0.25">
      <c r="A262">
        <f t="shared" si="41"/>
        <v>5220</v>
      </c>
      <c r="B262">
        <f t="shared" si="35"/>
        <v>0.15114326503075956</v>
      </c>
      <c r="C262">
        <f t="shared" si="36"/>
        <v>8.659871188089765</v>
      </c>
      <c r="D262">
        <f t="shared" si="37"/>
        <v>1.0115318838757583</v>
      </c>
      <c r="E262">
        <f t="shared" si="38"/>
        <v>2.2253701445266687</v>
      </c>
      <c r="F262">
        <f t="shared" si="39"/>
        <v>2.2000000000000002</v>
      </c>
      <c r="G262">
        <f t="shared" si="40"/>
        <v>0.80221964996837392</v>
      </c>
    </row>
    <row r="263" spans="1:7" x14ac:dyDescent="0.25">
      <c r="A263">
        <f t="shared" si="41"/>
        <v>5240</v>
      </c>
      <c r="B263">
        <f t="shared" si="35"/>
        <v>0.15057507883163307</v>
      </c>
      <c r="C263">
        <f t="shared" si="36"/>
        <v>8.6273165169022388</v>
      </c>
      <c r="D263">
        <f t="shared" si="37"/>
        <v>1.0114445192802608</v>
      </c>
      <c r="E263">
        <f t="shared" si="38"/>
        <v>2.2251779424165736</v>
      </c>
      <c r="F263">
        <f t="shared" si="39"/>
        <v>2.1999999999999997</v>
      </c>
      <c r="G263">
        <f t="shared" si="40"/>
        <v>0.80215036337806755</v>
      </c>
    </row>
    <row r="264" spans="1:7" x14ac:dyDescent="0.25">
      <c r="A264">
        <f t="shared" si="41"/>
        <v>5260</v>
      </c>
      <c r="B264">
        <f t="shared" si="35"/>
        <v>0.15001111657370819</v>
      </c>
      <c r="C264">
        <f t="shared" si="36"/>
        <v>8.5950038597184744</v>
      </c>
      <c r="D264">
        <f t="shared" si="37"/>
        <v>1.0113581419248265</v>
      </c>
      <c r="E264">
        <f t="shared" si="38"/>
        <v>2.2249879122346186</v>
      </c>
      <c r="F264">
        <f t="shared" si="39"/>
        <v>2.2000000000000002</v>
      </c>
      <c r="G264">
        <f t="shared" si="40"/>
        <v>0.80208185974219992</v>
      </c>
    </row>
    <row r="265" spans="1:7" x14ac:dyDescent="0.25">
      <c r="A265">
        <f t="shared" si="41"/>
        <v>5280</v>
      </c>
      <c r="B265">
        <f t="shared" si="35"/>
        <v>0.14945133168451938</v>
      </c>
      <c r="C265">
        <f t="shared" si="36"/>
        <v>8.5629305481327567</v>
      </c>
      <c r="D265">
        <f t="shared" si="37"/>
        <v>1.0112727370172201</v>
      </c>
      <c r="E265">
        <f t="shared" si="38"/>
        <v>2.2248000214378845</v>
      </c>
      <c r="F265">
        <f t="shared" si="39"/>
        <v>2.2000000000000002</v>
      </c>
      <c r="G265">
        <f t="shared" si="40"/>
        <v>0.802014127329433</v>
      </c>
    </row>
    <row r="266" spans="1:7" x14ac:dyDescent="0.25">
      <c r="A266">
        <f t="shared" si="41"/>
        <v>5300</v>
      </c>
      <c r="B266">
        <f t="shared" si="35"/>
        <v>0.14889567826852296</v>
      </c>
      <c r="C266">
        <f t="shared" si="36"/>
        <v>8.5310939525241345</v>
      </c>
      <c r="D266">
        <f t="shared" si="37"/>
        <v>1.0111882900407334</v>
      </c>
      <c r="E266">
        <f t="shared" si="38"/>
        <v>2.2246142380896137</v>
      </c>
      <c r="F266">
        <f t="shared" si="39"/>
        <v>2.2000000000000002</v>
      </c>
      <c r="G266">
        <f t="shared" si="40"/>
        <v>0.80194715462694288</v>
      </c>
    </row>
    <row r="267" spans="1:7" x14ac:dyDescent="0.25">
      <c r="A267">
        <f t="shared" si="41"/>
        <v>5320</v>
      </c>
      <c r="B267">
        <f t="shared" si="35"/>
        <v>0.14834411109493933</v>
      </c>
      <c r="C267">
        <f t="shared" si="36"/>
        <v>8.4994914813598328</v>
      </c>
      <c r="D267">
        <f t="shared" si="37"/>
        <v>1.01110478674806</v>
      </c>
      <c r="E267">
        <f t="shared" si="38"/>
        <v>2.2244305308457322</v>
      </c>
      <c r="F267">
        <f t="shared" si="39"/>
        <v>2.2000000000000002</v>
      </c>
      <c r="G267">
        <f t="shared" si="40"/>
        <v>0.80188093033556118</v>
      </c>
    </row>
    <row r="268" spans="1:7" x14ac:dyDescent="0.25">
      <c r="A268">
        <f t="shared" si="41"/>
        <v>5340</v>
      </c>
      <c r="B268">
        <f t="shared" si="35"/>
        <v>0.14779658558585451</v>
      </c>
      <c r="C268">
        <f t="shared" si="36"/>
        <v>8.4681205805135225</v>
      </c>
      <c r="D268">
        <f t="shared" si="37"/>
        <v>1.0110222131553295</v>
      </c>
      <c r="E268">
        <f t="shared" si="38"/>
        <v>2.224248868941725</v>
      </c>
      <c r="F268">
        <f t="shared" si="39"/>
        <v>2.2000000000000002</v>
      </c>
      <c r="G268">
        <f t="shared" si="40"/>
        <v>0.80181544336504362</v>
      </c>
    </row>
    <row r="269" spans="1:7" x14ac:dyDescent="0.25">
      <c r="A269">
        <f t="shared" si="41"/>
        <v>5360</v>
      </c>
      <c r="B269">
        <f t="shared" si="35"/>
        <v>0.14725305780457379</v>
      </c>
      <c r="C269">
        <f t="shared" si="36"/>
        <v>8.4369787325980266</v>
      </c>
      <c r="D269">
        <f t="shared" si="37"/>
        <v>1.0109405555362916</v>
      </c>
      <c r="E269">
        <f t="shared" si="38"/>
        <v>2.2240692221798417</v>
      </c>
      <c r="F269">
        <f t="shared" si="39"/>
        <v>2.2000000000000002</v>
      </c>
      <c r="G269">
        <f t="shared" si="40"/>
        <v>0.80175068282945794</v>
      </c>
    </row>
    <row r="270" spans="1:7" x14ac:dyDescent="0.25">
      <c r="A270">
        <f t="shared" si="41"/>
        <v>5380</v>
      </c>
      <c r="B270">
        <f t="shared" si="35"/>
        <v>0.14671348444422216</v>
      </c>
      <c r="C270">
        <f t="shared" si="36"/>
        <v>8.4060634563121859</v>
      </c>
      <c r="D270">
        <f t="shared" si="37"/>
        <v>1.010859800416654</v>
      </c>
      <c r="E270">
        <f t="shared" si="38"/>
        <v>2.223891560916639</v>
      </c>
      <c r="F270">
        <f t="shared" si="39"/>
        <v>2.2000000000000002</v>
      </c>
      <c r="G270">
        <f t="shared" si="40"/>
        <v>0.80168663804269291</v>
      </c>
    </row>
    <row r="271" spans="1:7" x14ac:dyDescent="0.25">
      <c r="A271">
        <f t="shared" si="41"/>
        <v>5400</v>
      </c>
      <c r="B271">
        <f t="shared" si="35"/>
        <v>0.14617782281658517</v>
      </c>
      <c r="C271">
        <f t="shared" si="36"/>
        <v>8.3753723058014788</v>
      </c>
      <c r="D271">
        <f t="shared" si="37"/>
        <v>1.0107799345685597</v>
      </c>
      <c r="E271">
        <f t="shared" si="38"/>
        <v>2.2237158560508314</v>
      </c>
      <c r="F271">
        <f t="shared" si="39"/>
        <v>2.2000000000000002</v>
      </c>
      <c r="G271">
        <f t="shared" si="40"/>
        <v>0.80162329851407899</v>
      </c>
    </row>
    <row r="272" spans="1:7" x14ac:dyDescent="0.25">
      <c r="A272">
        <f t="shared" si="41"/>
        <v>5420</v>
      </c>
      <c r="B272">
        <f t="shared" si="35"/>
        <v>0.14564603084118405</v>
      </c>
      <c r="C272">
        <f t="shared" si="36"/>
        <v>8.3449028700320689</v>
      </c>
      <c r="D272">
        <f t="shared" si="37"/>
        <v>1.0107009450052085</v>
      </c>
      <c r="E272">
        <f t="shared" si="38"/>
        <v>2.2235420790114588</v>
      </c>
      <c r="F272">
        <f t="shared" si="39"/>
        <v>2.2000000000000002</v>
      </c>
      <c r="G272">
        <f t="shared" si="40"/>
        <v>0.80156065394412246</v>
      </c>
    </row>
    <row r="273" spans="1:7" x14ac:dyDescent="0.25">
      <c r="A273">
        <f t="shared" si="41"/>
        <v>5440</v>
      </c>
      <c r="B273">
        <f t="shared" si="35"/>
        <v>0.14511806703457991</v>
      </c>
      <c r="C273">
        <f t="shared" si="36"/>
        <v>8.3146527721779897</v>
      </c>
      <c r="D273">
        <f t="shared" si="37"/>
        <v>1.010622818975613</v>
      </c>
      <c r="E273">
        <f t="shared" si="38"/>
        <v>2.223370201746349</v>
      </c>
      <c r="F273">
        <f t="shared" si="39"/>
        <v>2.2000000000000002</v>
      </c>
      <c r="G273">
        <f t="shared" si="40"/>
        <v>0.80149869422034659</v>
      </c>
    </row>
    <row r="274" spans="1:7" x14ac:dyDescent="0.25">
      <c r="A274">
        <f t="shared" si="41"/>
        <v>5460</v>
      </c>
      <c r="B274">
        <f t="shared" si="35"/>
        <v>0.14459389049990137</v>
      </c>
      <c r="C274">
        <f t="shared" si="36"/>
        <v>8.2846196690211187</v>
      </c>
      <c r="D274">
        <f t="shared" si="37"/>
        <v>1.0105455439594877</v>
      </c>
      <c r="E274">
        <f t="shared" si="38"/>
        <v>2.2232001967108728</v>
      </c>
      <c r="F274">
        <f t="shared" si="39"/>
        <v>2.1999999999999997</v>
      </c>
      <c r="G274">
        <f t="shared" si="40"/>
        <v>0.80143740941323793</v>
      </c>
    </row>
    <row r="275" spans="1:7" x14ac:dyDescent="0.25">
      <c r="A275">
        <f t="shared" si="41"/>
        <v>5480</v>
      </c>
      <c r="B275">
        <f t="shared" si="35"/>
        <v>0.14407346091659007</v>
      </c>
      <c r="C275">
        <f t="shared" si="36"/>
        <v>8.2548012503636272</v>
      </c>
      <c r="D275">
        <f t="shared" si="37"/>
        <v>1.0104691076622654</v>
      </c>
      <c r="E275">
        <f t="shared" si="38"/>
        <v>2.223032036856984</v>
      </c>
      <c r="F275">
        <f t="shared" si="39"/>
        <v>2.2000000000000002</v>
      </c>
      <c r="G275">
        <f t="shared" si="40"/>
        <v>0.80137678977229543</v>
      </c>
    </row>
    <row r="276" spans="1:7" x14ac:dyDescent="0.25">
      <c r="A276">
        <f t="shared" si="41"/>
        <v>5500</v>
      </c>
      <c r="B276">
        <f t="shared" si="35"/>
        <v>0.14355673853035858</v>
      </c>
      <c r="C276">
        <f t="shared" si="36"/>
        <v>8.2251952384526348</v>
      </c>
      <c r="D276">
        <f t="shared" si="37"/>
        <v>1.0103934980102409</v>
      </c>
      <c r="E276">
        <f t="shared" si="38"/>
        <v>2.2228656956225299</v>
      </c>
      <c r="F276">
        <f t="shared" si="39"/>
        <v>2.1999999999999997</v>
      </c>
      <c r="G276">
        <f t="shared" si="40"/>
        <v>0.80131682572217677</v>
      </c>
    </row>
    <row r="277" spans="1:7" x14ac:dyDescent="0.25">
      <c r="A277">
        <f t="shared" si="41"/>
        <v>5520</v>
      </c>
      <c r="B277">
        <f t="shared" si="35"/>
        <v>0.14304368414335678</v>
      </c>
      <c r="C277">
        <f t="shared" si="36"/>
        <v>8.195799387416761</v>
      </c>
      <c r="D277">
        <f t="shared" si="37"/>
        <v>1.0103187031458329</v>
      </c>
      <c r="E277">
        <f t="shared" si="38"/>
        <v>2.2227011469208326</v>
      </c>
      <c r="F277">
        <f t="shared" si="39"/>
        <v>2.2000000000000002</v>
      </c>
      <c r="G277">
        <f t="shared" si="40"/>
        <v>0.80125750785894267</v>
      </c>
    </row>
    <row r="278" spans="1:7" x14ac:dyDescent="0.25">
      <c r="A278">
        <f t="shared" si="41"/>
        <v>5540</v>
      </c>
      <c r="B278">
        <f t="shared" si="35"/>
        <v>0.14253425910454004</v>
      </c>
      <c r="C278">
        <f t="shared" si="36"/>
        <v>8.1666114827142735</v>
      </c>
      <c r="D278">
        <f t="shared" si="37"/>
        <v>1.0102447114229676</v>
      </c>
      <c r="E278">
        <f t="shared" si="38"/>
        <v>2.222538365130529</v>
      </c>
      <c r="F278">
        <f t="shared" si="39"/>
        <v>2.2000000000000002</v>
      </c>
      <c r="G278">
        <f t="shared" si="40"/>
        <v>0.80119882694639433</v>
      </c>
    </row>
    <row r="279" spans="1:7" x14ac:dyDescent="0.25">
      <c r="A279">
        <f t="shared" si="41"/>
        <v>5560</v>
      </c>
      <c r="B279">
        <f t="shared" si="35"/>
        <v>0.14202842530023585</v>
      </c>
      <c r="C279">
        <f t="shared" si="36"/>
        <v>8.1376293405925963</v>
      </c>
      <c r="D279">
        <f t="shared" si="37"/>
        <v>1.0101715114025724</v>
      </c>
      <c r="E279">
        <f t="shared" si="38"/>
        <v>2.2223773250856595</v>
      </c>
      <c r="F279">
        <f t="shared" si="39"/>
        <v>2.2000000000000002</v>
      </c>
      <c r="G279">
        <f t="shared" si="40"/>
        <v>0.80114077391250071</v>
      </c>
    </row>
    <row r="280" spans="1:7" x14ac:dyDescent="0.25">
      <c r="A280">
        <f t="shared" si="41"/>
        <v>5580</v>
      </c>
      <c r="B280">
        <f t="shared" si="35"/>
        <v>0.14152614514490344</v>
      </c>
      <c r="C280">
        <f t="shared" si="36"/>
        <v>8.1088508075588734</v>
      </c>
      <c r="D280">
        <f t="shared" si="37"/>
        <v>1.0100990918481851</v>
      </c>
      <c r="E280">
        <f t="shared" si="38"/>
        <v>2.2222180020660072</v>
      </c>
      <c r="F280">
        <f t="shared" si="39"/>
        <v>2.1999999999999997</v>
      </c>
      <c r="G280">
        <f t="shared" si="40"/>
        <v>0.80108333984591551</v>
      </c>
    </row>
    <row r="281" spans="1:7" x14ac:dyDescent="0.25">
      <c r="A281">
        <f t="shared" si="41"/>
        <v>5600</v>
      </c>
      <c r="B281">
        <f t="shared" si="35"/>
        <v>0.141027381572082</v>
      </c>
      <c r="C281">
        <f t="shared" si="36"/>
        <v>8.0802737598613401</v>
      </c>
      <c r="D281">
        <f t="shared" si="37"/>
        <v>1.0100274417216684</v>
      </c>
      <c r="E281">
        <f t="shared" si="38"/>
        <v>2.2220603717876704</v>
      </c>
      <c r="F281">
        <f t="shared" si="39"/>
        <v>2.2000000000000002</v>
      </c>
      <c r="G281">
        <f t="shared" si="40"/>
        <v>0.80102651599257912</v>
      </c>
    </row>
    <row r="282" spans="1:7" x14ac:dyDescent="0.25">
      <c r="A282">
        <f t="shared" si="41"/>
        <v>5620</v>
      </c>
      <c r="B282">
        <f t="shared" si="35"/>
        <v>0.14053209802552311</v>
      </c>
      <c r="C282">
        <f t="shared" si="36"/>
        <v>8.0518961029812441</v>
      </c>
      <c r="D282">
        <f t="shared" si="37"/>
        <v>1.0099565501790313</v>
      </c>
      <c r="E282">
        <f t="shared" si="38"/>
        <v>2.221904410393869</v>
      </c>
      <c r="F282">
        <f t="shared" si="39"/>
        <v>2.2000000000000002</v>
      </c>
      <c r="G282">
        <f t="shared" si="40"/>
        <v>0.80097029375240403</v>
      </c>
    </row>
    <row r="283" spans="1:7" x14ac:dyDescent="0.25">
      <c r="A283">
        <f t="shared" si="41"/>
        <v>5640</v>
      </c>
      <c r="B283">
        <f t="shared" si="35"/>
        <v>0.14004025845050308</v>
      </c>
      <c r="C283">
        <f t="shared" si="36"/>
        <v>8.0237157711350875</v>
      </c>
      <c r="D283">
        <f t="shared" si="37"/>
        <v>1.0098864065663515</v>
      </c>
      <c r="E283">
        <f t="shared" si="38"/>
        <v>2.2217500944459738</v>
      </c>
      <c r="F283">
        <f t="shared" si="39"/>
        <v>2.2000000000000006</v>
      </c>
      <c r="G283">
        <f t="shared" si="40"/>
        <v>0.80091466467604144</v>
      </c>
    </row>
    <row r="284" spans="1:7" x14ac:dyDescent="0.25">
      <c r="A284">
        <f t="shared" si="41"/>
        <v>5660</v>
      </c>
      <c r="B284">
        <f t="shared" si="35"/>
        <v>0.13955182728531088</v>
      </c>
      <c r="C284">
        <f t="shared" si="36"/>
        <v>7.9957307267869178</v>
      </c>
      <c r="D284">
        <f t="shared" si="37"/>
        <v>1.0098170004157985</v>
      </c>
      <c r="E284">
        <f t="shared" si="38"/>
        <v>2.221597400914757</v>
      </c>
      <c r="F284">
        <f t="shared" si="39"/>
        <v>2.2000000000000002</v>
      </c>
      <c r="G284">
        <f t="shared" si="40"/>
        <v>0.80085962046172654</v>
      </c>
    </row>
    <row r="285" spans="1:7" x14ac:dyDescent="0.25">
      <c r="A285">
        <f t="shared" si="41"/>
        <v>5680</v>
      </c>
      <c r="B285">
        <f t="shared" si="35"/>
        <v>0.13906676945290755</v>
      </c>
      <c r="C285">
        <f t="shared" si="36"/>
        <v>7.9679389601704438</v>
      </c>
      <c r="D285">
        <f t="shared" si="37"/>
        <v>1.009748321441752</v>
      </c>
      <c r="E285">
        <f t="shared" si="38"/>
        <v>2.2214463071718544</v>
      </c>
      <c r="F285">
        <f t="shared" si="39"/>
        <v>2.2000000000000002</v>
      </c>
      <c r="G285">
        <f t="shared" si="40"/>
        <v>0.80080515295220156</v>
      </c>
    </row>
    <row r="286" spans="1:7" x14ac:dyDescent="0.25">
      <c r="A286">
        <f t="shared" si="41"/>
        <v>5700</v>
      </c>
      <c r="B286">
        <f t="shared" si="35"/>
        <v>0.13858505035275337</v>
      </c>
      <c r="C286">
        <f t="shared" si="36"/>
        <v>7.9403384888207684</v>
      </c>
      <c r="D286">
        <f t="shared" si="37"/>
        <v>1.0096803595370141</v>
      </c>
      <c r="E286">
        <f t="shared" si="38"/>
        <v>2.2212967909814312</v>
      </c>
      <c r="F286">
        <f t="shared" si="39"/>
        <v>2.2000000000000002</v>
      </c>
      <c r="G286">
        <f t="shared" si="40"/>
        <v>0.80075125413171055</v>
      </c>
    </row>
    <row r="287" spans="1:7" x14ac:dyDescent="0.25">
      <c r="A287">
        <f t="shared" si="41"/>
        <v>5720</v>
      </c>
      <c r="B287">
        <f t="shared" si="35"/>
        <v>0.13810663585279845</v>
      </c>
      <c r="C287">
        <f t="shared" si="36"/>
        <v>7.9129273571154908</v>
      </c>
      <c r="D287">
        <f t="shared" si="37"/>
        <v>1.0096131047691157</v>
      </c>
      <c r="E287">
        <f t="shared" si="38"/>
        <v>2.2211488304920546</v>
      </c>
      <c r="F287">
        <f t="shared" si="39"/>
        <v>2.2000000000000002</v>
      </c>
      <c r="G287">
        <f t="shared" si="40"/>
        <v>0.80069791612307017</v>
      </c>
    </row>
    <row r="288" spans="1:7" x14ac:dyDescent="0.25">
      <c r="A288">
        <f t="shared" si="41"/>
        <v>5740</v>
      </c>
      <c r="B288">
        <f t="shared" si="35"/>
        <v>0.13763149228163338</v>
      </c>
      <c r="C288">
        <f t="shared" si="36"/>
        <v>7.8857036358249566</v>
      </c>
      <c r="D288">
        <f t="shared" si="37"/>
        <v>1.0095465473767078</v>
      </c>
      <c r="E288">
        <f t="shared" si="38"/>
        <v>2.2210024042287575</v>
      </c>
      <c r="F288">
        <f t="shared" si="39"/>
        <v>2.2000000000000002</v>
      </c>
      <c r="G288">
        <f t="shared" si="40"/>
        <v>0.8006451311848084</v>
      </c>
    </row>
    <row r="289" spans="1:7" x14ac:dyDescent="0.25">
      <c r="A289">
        <f t="shared" si="41"/>
        <v>5760</v>
      </c>
      <c r="B289">
        <f t="shared" si="35"/>
        <v>0.13715958642079609</v>
      </c>
      <c r="C289">
        <f t="shared" si="36"/>
        <v>7.8586654216714935</v>
      </c>
      <c r="D289">
        <f t="shared" si="37"/>
        <v>1.0094806777660421</v>
      </c>
      <c r="E289">
        <f t="shared" si="38"/>
        <v>2.220857491085293</v>
      </c>
      <c r="F289">
        <f t="shared" si="39"/>
        <v>2.2000000000000002</v>
      </c>
      <c r="G289">
        <f t="shared" si="40"/>
        <v>0.80059289170837256</v>
      </c>
    </row>
    <row r="290" spans="1:7" x14ac:dyDescent="0.25">
      <c r="A290">
        <f t="shared" si="41"/>
        <v>5780</v>
      </c>
      <c r="B290">
        <f t="shared" si="35"/>
        <v>0.13669088549723113</v>
      </c>
      <c r="C290">
        <f t="shared" si="36"/>
        <v>7.8318108368973371</v>
      </c>
      <c r="D290">
        <f t="shared" si="37"/>
        <v>1.0094154865075342</v>
      </c>
      <c r="E290">
        <f t="shared" si="38"/>
        <v>2.2207140703165758</v>
      </c>
      <c r="F290">
        <f t="shared" si="39"/>
        <v>2.2000000000000006</v>
      </c>
      <c r="G290">
        <f t="shared" si="40"/>
        <v>0.8005411902154046</v>
      </c>
    </row>
    <row r="291" spans="1:7" x14ac:dyDescent="0.25">
      <c r="A291">
        <f t="shared" si="41"/>
        <v>5800</v>
      </c>
      <c r="B291">
        <f t="shared" si="35"/>
        <v>0.13622535717589826</v>
      </c>
      <c r="C291">
        <f t="shared" si="36"/>
        <v>7.8051380288411529</v>
      </c>
      <c r="D291">
        <f t="shared" si="37"/>
        <v>1.0093509643324095</v>
      </c>
      <c r="E291">
        <f t="shared" si="38"/>
        <v>2.2205721215313012</v>
      </c>
      <c r="F291">
        <f t="shared" si="39"/>
        <v>2.2000000000000006</v>
      </c>
      <c r="G291">
        <f t="shared" si="40"/>
        <v>0.80049001935507991</v>
      </c>
    </row>
    <row r="292" spans="1:7" x14ac:dyDescent="0.25">
      <c r="A292">
        <f t="shared" si="41"/>
        <v>5820</v>
      </c>
      <c r="B292">
        <f t="shared" si="35"/>
        <v>0.1357629695525269</v>
      </c>
      <c r="C292">
        <f t="shared" si="36"/>
        <v>7.7786451695228891</v>
      </c>
      <c r="D292">
        <f t="shared" si="37"/>
        <v>1.0092871021294278</v>
      </c>
      <c r="E292">
        <f t="shared" si="38"/>
        <v>2.2204316246847418</v>
      </c>
      <c r="F292">
        <f t="shared" si="39"/>
        <v>2.2000000000000006</v>
      </c>
      <c r="G292">
        <f t="shared" si="40"/>
        <v>0.80043937190151093</v>
      </c>
    </row>
    <row r="293" spans="1:7" x14ac:dyDescent="0.25">
      <c r="A293">
        <f t="shared" si="41"/>
        <v>5840</v>
      </c>
      <c r="B293">
        <f t="shared" si="35"/>
        <v>0.13530369114651239</v>
      </c>
      <c r="C293">
        <f t="shared" si="36"/>
        <v>7.7523304552367627</v>
      </c>
      <c r="D293">
        <f t="shared" si="37"/>
        <v>1.0092238909416869</v>
      </c>
      <c r="E293">
        <f t="shared" si="38"/>
        <v>2.2202925600717114</v>
      </c>
      <c r="F293">
        <f t="shared" si="39"/>
        <v>2.2000000000000002</v>
      </c>
      <c r="G293">
        <f t="shared" si="40"/>
        <v>0.80038924075121098</v>
      </c>
    </row>
    <row r="294" spans="1:7" x14ac:dyDescent="0.25">
      <c r="A294">
        <f t="shared" si="41"/>
        <v>5860</v>
      </c>
      <c r="B294">
        <f t="shared" si="35"/>
        <v>0.13484749089395212</v>
      </c>
      <c r="C294">
        <f t="shared" si="36"/>
        <v>7.7261921061522578</v>
      </c>
      <c r="D294">
        <f t="shared" si="37"/>
        <v>1.0091613219634985</v>
      </c>
      <c r="E294">
        <f t="shared" si="38"/>
        <v>2.2201549083196968</v>
      </c>
      <c r="F294">
        <f t="shared" si="39"/>
        <v>2.2000000000000002</v>
      </c>
      <c r="G294">
        <f t="shared" si="40"/>
        <v>0.80033961892061789</v>
      </c>
    </row>
    <row r="295" spans="1:7" x14ac:dyDescent="0.25">
      <c r="A295">
        <f t="shared" si="41"/>
        <v>5880</v>
      </c>
      <c r="B295">
        <f t="shared" si="35"/>
        <v>0.13439433814081733</v>
      </c>
      <c r="C295">
        <f t="shared" si="36"/>
        <v>7.7002283659228992</v>
      </c>
      <c r="D295">
        <f t="shared" si="37"/>
        <v>1.0090993865373417</v>
      </c>
      <c r="E295">
        <f t="shared" si="38"/>
        <v>2.2200186503821517</v>
      </c>
      <c r="F295">
        <f t="shared" si="39"/>
        <v>2.2000000000000002</v>
      </c>
      <c r="G295">
        <f t="shared" si="40"/>
        <v>0.80029049954367659</v>
      </c>
    </row>
    <row r="296" spans="1:7" x14ac:dyDescent="0.25">
      <c r="A296">
        <f t="shared" si="41"/>
        <v>5900</v>
      </c>
      <c r="B296">
        <f t="shared" si="35"/>
        <v>0.1339442026362577</v>
      </c>
      <c r="C296">
        <f t="shared" si="36"/>
        <v>7.6744375013026405</v>
      </c>
      <c r="D296">
        <f t="shared" si="37"/>
        <v>1.0090380761508839</v>
      </c>
      <c r="E296">
        <f t="shared" si="38"/>
        <v>2.2198837675319445</v>
      </c>
      <c r="F296">
        <f t="shared" si="39"/>
        <v>2.1999999999999997</v>
      </c>
      <c r="G296">
        <f t="shared" si="40"/>
        <v>0.80024187586947748</v>
      </c>
    </row>
    <row r="297" spans="1:7" x14ac:dyDescent="0.25">
      <c r="A297">
        <f t="shared" si="41"/>
        <v>5920</v>
      </c>
      <c r="B297">
        <f t="shared" si="35"/>
        <v>0.1334970545260363</v>
      </c>
      <c r="C297">
        <f t="shared" si="36"/>
        <v>7.648817801769705</v>
      </c>
      <c r="D297">
        <f t="shared" si="37"/>
        <v>1.0089773824340738</v>
      </c>
      <c r="E297">
        <f t="shared" si="38"/>
        <v>2.2197502413549626</v>
      </c>
      <c r="F297">
        <f t="shared" si="39"/>
        <v>2.2000000000000002</v>
      </c>
      <c r="G297">
        <f t="shared" si="40"/>
        <v>0.80019374125995035</v>
      </c>
    </row>
    <row r="298" spans="1:7" x14ac:dyDescent="0.25">
      <c r="A298">
        <f t="shared" si="41"/>
        <v>5940</v>
      </c>
      <c r="B298">
        <f t="shared" si="35"/>
        <v>0.1330528643460912</v>
      </c>
      <c r="C298">
        <f t="shared" si="36"/>
        <v>7.6233675791576943</v>
      </c>
      <c r="D298">
        <f t="shared" si="37"/>
        <v>1.0089172971563005</v>
      </c>
      <c r="E298">
        <f t="shared" si="38"/>
        <v>2.2196180537438615</v>
      </c>
      <c r="F298">
        <f t="shared" si="39"/>
        <v>2.2000000000000002</v>
      </c>
      <c r="G298">
        <f t="shared" si="40"/>
        <v>0.80014608918761154</v>
      </c>
    </row>
    <row r="299" spans="1:7" x14ac:dyDescent="0.25">
      <c r="A299">
        <f t="shared" si="41"/>
        <v>5960</v>
      </c>
      <c r="B299">
        <f t="shared" si="35"/>
        <v>0.13261160301622166</v>
      </c>
      <c r="C299">
        <f t="shared" si="36"/>
        <v>7.5980851672938385</v>
      </c>
      <c r="D299">
        <f t="shared" si="37"/>
        <v>1.0088578122236198</v>
      </c>
      <c r="E299">
        <f t="shared" si="38"/>
        <v>2.2194871868919637</v>
      </c>
      <c r="F299">
        <f t="shared" si="39"/>
        <v>2.2000000000000002</v>
      </c>
      <c r="G299">
        <f t="shared" si="40"/>
        <v>0.80009891323336402</v>
      </c>
    </row>
    <row r="300" spans="1:7" x14ac:dyDescent="0.25">
      <c r="A300">
        <f t="shared" si="41"/>
        <v>5980</v>
      </c>
      <c r="B300">
        <f t="shared" si="35"/>
        <v>0.13217324183389539</v>
      </c>
      <c r="C300">
        <f t="shared" si="36"/>
        <v>7.5729689216441791</v>
      </c>
      <c r="D300">
        <f t="shared" si="37"/>
        <v>1.0087989196760425</v>
      </c>
      <c r="E300">
        <f t="shared" si="38"/>
        <v>2.2193576232872934</v>
      </c>
      <c r="F300">
        <f t="shared" si="39"/>
        <v>2.1999999999999997</v>
      </c>
      <c r="G300">
        <f t="shared" si="40"/>
        <v>0.80005220708434754</v>
      </c>
    </row>
    <row r="301" spans="1:7" x14ac:dyDescent="0.25">
      <c r="A301">
        <f t="shared" si="41"/>
        <v>6000</v>
      </c>
      <c r="B301">
        <f t="shared" si="35"/>
        <v>0.13173775246817479</v>
      </c>
      <c r="C301">
        <f t="shared" si="36"/>
        <v>7.5480172189655601</v>
      </c>
      <c r="D301">
        <f t="shared" si="37"/>
        <v>1.0087406116848878</v>
      </c>
      <c r="E301">
        <f t="shared" si="38"/>
        <v>2.2192293457067533</v>
      </c>
      <c r="F301">
        <f t="shared" si="39"/>
        <v>2.2000000000000002</v>
      </c>
      <c r="G301">
        <f t="shared" si="40"/>
        <v>0.80000596453183881</v>
      </c>
    </row>
    <row r="302" spans="1:7" x14ac:dyDescent="0.25">
      <c r="A302">
        <f t="shared" si="41"/>
        <v>6020</v>
      </c>
      <c r="B302">
        <f t="shared" si="35"/>
        <v>0.13130510695375919</v>
      </c>
      <c r="C302">
        <f t="shared" si="36"/>
        <v>7.5232284569642784</v>
      </c>
      <c r="D302">
        <f t="shared" si="37"/>
        <v>1.0086828805501955</v>
      </c>
      <c r="E302">
        <f t="shared" si="38"/>
        <v>2.2191023372104302</v>
      </c>
      <c r="F302">
        <f t="shared" si="39"/>
        <v>2.2000000000000002</v>
      </c>
      <c r="G302">
        <f t="shared" si="40"/>
        <v>0.79996017946919917</v>
      </c>
    </row>
    <row r="303" spans="1:7" x14ac:dyDescent="0.25">
      <c r="A303">
        <f t="shared" si="41"/>
        <v>6040</v>
      </c>
      <c r="B303">
        <f t="shared" si="35"/>
        <v>0.13087527768514082</v>
      </c>
      <c r="C303">
        <f t="shared" si="36"/>
        <v>7.4986010539612513</v>
      </c>
      <c r="D303">
        <f t="shared" si="37"/>
        <v>1.0086257186981982</v>
      </c>
      <c r="E303">
        <f t="shared" si="38"/>
        <v>2.2189765811360362</v>
      </c>
      <c r="F303">
        <f t="shared" si="39"/>
        <v>2.2000000000000002</v>
      </c>
      <c r="G303">
        <f t="shared" si="40"/>
        <v>0.79991484588987094</v>
      </c>
    </row>
    <row r="304" spans="1:7" x14ac:dyDescent="0.25">
      <c r="A304">
        <f t="shared" si="41"/>
        <v>6060</v>
      </c>
      <c r="B304">
        <f t="shared" si="35"/>
        <v>0.13044823741087133</v>
      </c>
      <c r="C304">
        <f t="shared" si="36"/>
        <v>7.4741334485635011</v>
      </c>
      <c r="D304">
        <f t="shared" si="37"/>
        <v>1.0085691186788508</v>
      </c>
      <c r="E304">
        <f t="shared" si="38"/>
        <v>2.2188520610934717</v>
      </c>
      <c r="F304">
        <f t="shared" si="39"/>
        <v>2.1999999999999997</v>
      </c>
      <c r="G304">
        <f t="shared" si="40"/>
        <v>0.79986995788541648</v>
      </c>
    </row>
    <row r="305" spans="1:7" x14ac:dyDescent="0.25">
      <c r="A305">
        <f t="shared" si="41"/>
        <v>6080</v>
      </c>
      <c r="B305">
        <f t="shared" si="35"/>
        <v>0.13002395922793775</v>
      </c>
      <c r="C305">
        <f t="shared" si="36"/>
        <v>7.4498240993419262</v>
      </c>
      <c r="D305">
        <f t="shared" si="37"/>
        <v>1.0085130731634162</v>
      </c>
      <c r="E305">
        <f t="shared" si="38"/>
        <v>2.2187287609595159</v>
      </c>
      <c r="F305">
        <f t="shared" si="39"/>
        <v>2.2000000000000002</v>
      </c>
      <c r="G305">
        <f t="shared" si="40"/>
        <v>0.79982550964360544</v>
      </c>
    </row>
    <row r="306" spans="1:7" x14ac:dyDescent="0.25">
      <c r="A306">
        <f t="shared" si="41"/>
        <v>6100</v>
      </c>
      <c r="B306">
        <f t="shared" si="35"/>
        <v>0.12960241657624375</v>
      </c>
      <c r="C306">
        <f t="shared" si="36"/>
        <v>7.4256714845151075</v>
      </c>
      <c r="D306">
        <f t="shared" si="37"/>
        <v>1.0084575749421067</v>
      </c>
      <c r="E306">
        <f t="shared" si="38"/>
        <v>2.218606664872635</v>
      </c>
      <c r="F306">
        <f t="shared" si="39"/>
        <v>2.2000000000000002</v>
      </c>
      <c r="G306">
        <f t="shared" si="40"/>
        <v>0.79978149544654209</v>
      </c>
    </row>
    <row r="307" spans="1:7" x14ac:dyDescent="0.25">
      <c r="A307">
        <f t="shared" si="41"/>
        <v>6120</v>
      </c>
      <c r="B307">
        <f t="shared" si="35"/>
        <v>0.12918358323319554</v>
      </c>
      <c r="C307">
        <f t="shared" si="36"/>
        <v>7.4016741016390899</v>
      </c>
      <c r="D307">
        <f t="shared" si="37"/>
        <v>1.008402616921777</v>
      </c>
      <c r="E307">
        <f t="shared" si="38"/>
        <v>2.2184857572279095</v>
      </c>
      <c r="F307">
        <f t="shared" si="39"/>
        <v>2.2000000000000002</v>
      </c>
      <c r="G307">
        <f t="shared" si="40"/>
        <v>0.7997379096688374</v>
      </c>
    </row>
    <row r="308" spans="1:7" x14ac:dyDescent="0.25">
      <c r="A308">
        <f t="shared" si="41"/>
        <v>6140</v>
      </c>
      <c r="B308">
        <f t="shared" si="35"/>
        <v>0.12876743330838891</v>
      </c>
      <c r="C308">
        <f t="shared" si="36"/>
        <v>7.3778304673029833</v>
      </c>
      <c r="D308">
        <f t="shared" si="37"/>
        <v>1.0083481921236701</v>
      </c>
      <c r="E308">
        <f t="shared" si="38"/>
        <v>2.2183660226720745</v>
      </c>
      <c r="F308">
        <f t="shared" si="39"/>
        <v>2.2000000000000002</v>
      </c>
      <c r="G308">
        <f t="shared" si="40"/>
        <v>0.79969474677582053</v>
      </c>
    </row>
    <row r="309" spans="1:7" x14ac:dyDescent="0.25">
      <c r="A309">
        <f t="shared" si="41"/>
        <v>6160</v>
      </c>
      <c r="B309">
        <f t="shared" si="35"/>
        <v>0.12835394123839616</v>
      </c>
      <c r="C309">
        <f t="shared" si="36"/>
        <v>7.3541391168302708</v>
      </c>
      <c r="D309">
        <f t="shared" si="37"/>
        <v>1.0082942936812136</v>
      </c>
      <c r="E309">
        <f t="shared" si="38"/>
        <v>2.2182474460986703</v>
      </c>
      <c r="F309">
        <f t="shared" si="39"/>
        <v>2.2000000000000002</v>
      </c>
      <c r="G309">
        <f t="shared" si="40"/>
        <v>0.79965200132179137</v>
      </c>
    </row>
    <row r="310" spans="1:7" x14ac:dyDescent="0.25">
      <c r="A310">
        <f t="shared" si="41"/>
        <v>6180</v>
      </c>
      <c r="B310">
        <f t="shared" si="35"/>
        <v>0.1279430817816499</v>
      </c>
      <c r="C310">
        <f t="shared" si="36"/>
        <v>7.3305986039856723</v>
      </c>
      <c r="D310">
        <f t="shared" si="37"/>
        <v>1.0082409148378664</v>
      </c>
      <c r="E310">
        <f t="shared" si="38"/>
        <v>2.2181300126433063</v>
      </c>
      <c r="F310">
        <f t="shared" si="39"/>
        <v>2.2000000000000002</v>
      </c>
      <c r="G310">
        <f t="shared" si="40"/>
        <v>0.79960966794831256</v>
      </c>
    </row>
    <row r="311" spans="1:7" x14ac:dyDescent="0.25">
      <c r="A311">
        <f t="shared" si="41"/>
        <v>6200</v>
      </c>
      <c r="B311">
        <f t="shared" si="35"/>
        <v>0.12753483001342239</v>
      </c>
      <c r="C311">
        <f t="shared" si="36"/>
        <v>7.3072075006874835</v>
      </c>
      <c r="D311">
        <f t="shared" si="37"/>
        <v>1.0081880489450108</v>
      </c>
      <c r="E311">
        <f t="shared" si="38"/>
        <v>2.2180137076790243</v>
      </c>
      <c r="F311">
        <f t="shared" si="39"/>
        <v>2.2000000000000006</v>
      </c>
      <c r="G311">
        <f t="shared" si="40"/>
        <v>0.79956774138253861</v>
      </c>
    </row>
    <row r="312" spans="1:7" x14ac:dyDescent="0.25">
      <c r="A312">
        <f t="shared" si="41"/>
        <v>6220</v>
      </c>
      <c r="B312">
        <f t="shared" si="35"/>
        <v>0.12712916132089772</v>
      </c>
      <c r="C312">
        <f t="shared" si="36"/>
        <v>7.2839643967252297</v>
      </c>
      <c r="D312">
        <f t="shared" si="37"/>
        <v>1.0081356894598945</v>
      </c>
      <c r="E312">
        <f t="shared" si="38"/>
        <v>2.217898516811768</v>
      </c>
      <c r="F312">
        <f t="shared" si="39"/>
        <v>2.2000000000000002</v>
      </c>
      <c r="G312">
        <f t="shared" si="40"/>
        <v>0.79952621643558219</v>
      </c>
    </row>
    <row r="313" spans="1:7" x14ac:dyDescent="0.25">
      <c r="A313">
        <f t="shared" si="41"/>
        <v>6240</v>
      </c>
      <c r="B313">
        <f t="shared" si="35"/>
        <v>0.12672605139833537</v>
      </c>
      <c r="C313">
        <f t="shared" si="36"/>
        <v>7.2608678994825615</v>
      </c>
      <c r="D313">
        <f t="shared" si="37"/>
        <v>1.0080838299436155</v>
      </c>
      <c r="E313">
        <f t="shared" si="38"/>
        <v>2.2177844258759545</v>
      </c>
      <c r="F313">
        <f t="shared" si="39"/>
        <v>2.2000000000000006</v>
      </c>
      <c r="G313">
        <f t="shared" si="40"/>
        <v>0.799485088000918</v>
      </c>
    </row>
    <row r="314" spans="1:7" x14ac:dyDescent="0.25">
      <c r="A314">
        <f t="shared" si="41"/>
        <v>6260</v>
      </c>
      <c r="B314">
        <f t="shared" si="35"/>
        <v>0.12632547624232293</v>
      </c>
      <c r="C314">
        <f t="shared" si="36"/>
        <v>7.2379166336652547</v>
      </c>
      <c r="D314">
        <f t="shared" si="37"/>
        <v>1.0080324640591543</v>
      </c>
      <c r="E314">
        <f t="shared" si="38"/>
        <v>2.2176714209301394</v>
      </c>
      <c r="F314">
        <f t="shared" si="39"/>
        <v>2.2000000000000002</v>
      </c>
      <c r="G314">
        <f t="shared" si="40"/>
        <v>0.79944435105281997</v>
      </c>
    </row>
    <row r="315" spans="1:7" x14ac:dyDescent="0.25">
      <c r="A315">
        <f t="shared" si="41"/>
        <v>6280</v>
      </c>
      <c r="B315">
        <f t="shared" si="35"/>
        <v>0.12592741214711597</v>
      </c>
      <c r="C315">
        <f t="shared" si="36"/>
        <v>7.2151092410342015</v>
      </c>
      <c r="D315">
        <f t="shared" si="37"/>
        <v>1.0079815855694461</v>
      </c>
      <c r="E315">
        <f t="shared" si="38"/>
        <v>2.2175594882527818</v>
      </c>
      <c r="F315">
        <f t="shared" si="39"/>
        <v>2.2000000000000006</v>
      </c>
      <c r="G315">
        <f t="shared" si="40"/>
        <v>0.79940400064483474</v>
      </c>
    </row>
    <row r="316" spans="1:7" x14ac:dyDescent="0.25">
      <c r="A316">
        <f t="shared" si="41"/>
        <v>6300</v>
      </c>
      <c r="B316">
        <f t="shared" si="35"/>
        <v>0.1255318357000636</v>
      </c>
      <c r="C316">
        <f t="shared" si="36"/>
        <v>7.1924443801433195</v>
      </c>
      <c r="D316">
        <f t="shared" si="37"/>
        <v>1.0079311883354993</v>
      </c>
      <c r="E316">
        <f t="shared" si="38"/>
        <v>2.2174486143380987</v>
      </c>
      <c r="F316">
        <f t="shared" si="39"/>
        <v>2.2000000000000002</v>
      </c>
      <c r="G316">
        <f t="shared" si="40"/>
        <v>0.79936403190828698</v>
      </c>
    </row>
    <row r="317" spans="1:7" x14ac:dyDescent="0.25">
      <c r="A317">
        <f t="shared" si="41"/>
        <v>6320</v>
      </c>
      <c r="B317">
        <f t="shared" si="35"/>
        <v>0.12513872377711738</v>
      </c>
      <c r="C317">
        <f t="shared" si="36"/>
        <v>7.1699207260822293</v>
      </c>
      <c r="D317">
        <f t="shared" si="37"/>
        <v>1.0078812663145515</v>
      </c>
      <c r="E317">
        <f t="shared" si="38"/>
        <v>2.2173387858920135</v>
      </c>
      <c r="F317">
        <f t="shared" si="39"/>
        <v>2.2000000000000002</v>
      </c>
      <c r="G317">
        <f t="shared" si="40"/>
        <v>0.79932444005081926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1230-C1B0-448E-BCD9-4B7116C49CC9}">
  <sheetPr codeName="Sheet3"/>
  <dimension ref="A1:B11"/>
  <sheetViews>
    <sheetView workbookViewId="0">
      <selection activeCell="H17" sqref="H17"/>
    </sheetView>
  </sheetViews>
  <sheetFormatPr defaultRowHeight="15" x14ac:dyDescent="0.25"/>
  <cols>
    <col min="1" max="1" width="28.140625" bestFit="1" customWidth="1"/>
    <col min="2" max="2" width="12.7109375" bestFit="1" customWidth="1"/>
  </cols>
  <sheetData>
    <row r="1" spans="1:2" ht="15.75" thickBot="1" x14ac:dyDescent="0.3">
      <c r="A1" s="7" t="s">
        <v>0</v>
      </c>
      <c r="B1" s="8" t="s">
        <v>56</v>
      </c>
    </row>
    <row r="2" spans="1:2" ht="15.75" thickBot="1" x14ac:dyDescent="0.3">
      <c r="A2" s="1" t="s">
        <v>57</v>
      </c>
      <c r="B2" s="1">
        <f>4*12</f>
        <v>48</v>
      </c>
    </row>
    <row r="3" spans="1:2" ht="15.75" thickBot="1" x14ac:dyDescent="0.3">
      <c r="A3" s="1" t="s">
        <v>58</v>
      </c>
      <c r="B3" s="1">
        <f>362.88</f>
        <v>362.88</v>
      </c>
    </row>
    <row r="4" spans="1:2" ht="15.75" thickBot="1" x14ac:dyDescent="0.3">
      <c r="A4" s="1" t="s">
        <v>3</v>
      </c>
      <c r="B4" s="1">
        <f>B2^2/B3</f>
        <v>6.3492063492063489</v>
      </c>
    </row>
    <row r="5" spans="1:2" ht="15.75" thickBot="1" x14ac:dyDescent="0.3">
      <c r="A5" s="1" t="s">
        <v>4</v>
      </c>
      <c r="B5" s="1">
        <v>23</v>
      </c>
    </row>
    <row r="6" spans="1:2" ht="15.75" thickBot="1" x14ac:dyDescent="0.3">
      <c r="A6" s="1" t="s">
        <v>59</v>
      </c>
      <c r="B6" s="1">
        <f>10</f>
        <v>10</v>
      </c>
    </row>
    <row r="7" spans="1:2" ht="15.75" thickBot="1" x14ac:dyDescent="0.3">
      <c r="A7" s="1" t="s">
        <v>60</v>
      </c>
      <c r="B7" s="1">
        <f>4.4</f>
        <v>4.4000000000000004</v>
      </c>
    </row>
    <row r="8" spans="1:2" ht="15.75" thickBot="1" x14ac:dyDescent="0.3">
      <c r="A8" s="1" t="s">
        <v>7</v>
      </c>
      <c r="B8" s="1">
        <f>B7/B6</f>
        <v>0.44000000000000006</v>
      </c>
    </row>
    <row r="9" spans="1:2" ht="15.75" thickBot="1" x14ac:dyDescent="0.3">
      <c r="A9" s="1" t="s">
        <v>8</v>
      </c>
      <c r="B9" s="1">
        <f>2/(2-B4+SQRT(4+B4^2*(1+TAN(B5*PI()/180)^2)))</f>
        <v>0.70610804752631118</v>
      </c>
    </row>
    <row r="10" spans="1:2" ht="15.75" thickBot="1" x14ac:dyDescent="0.3">
      <c r="A10" s="1" t="s">
        <v>11</v>
      </c>
      <c r="B10" s="1">
        <v>2</v>
      </c>
    </row>
    <row r="11" spans="1:2" ht="15.75" thickBot="1" x14ac:dyDescent="0.3">
      <c r="A11" s="1" t="s">
        <v>61</v>
      </c>
      <c r="B11" s="1">
        <f>B6*2/3*((1+B8+B8^2)/(1+B8))</f>
        <v>7.5629629629629624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9247-685E-4B21-B6EA-37CE1FEC838F}">
  <sheetPr codeName="Sheet2"/>
  <dimension ref="A1:G20"/>
  <sheetViews>
    <sheetView workbookViewId="0">
      <selection activeCell="M19" sqref="M19"/>
    </sheetView>
  </sheetViews>
  <sheetFormatPr defaultRowHeight="15" x14ac:dyDescent="0.25"/>
  <cols>
    <col min="1" max="1" width="28.140625" bestFit="1" customWidth="1"/>
    <col min="2" max="2" width="12.7109375" bestFit="1" customWidth="1"/>
    <col min="5" max="5" width="19.85546875" bestFit="1" customWidth="1"/>
    <col min="6" max="6" width="19.42578125" bestFit="1" customWidth="1"/>
    <col min="7" max="7" width="17" bestFit="1" customWidth="1"/>
  </cols>
  <sheetData>
    <row r="1" spans="1:7" ht="15.75" thickBot="1" x14ac:dyDescent="0.3">
      <c r="A1" s="10" t="s">
        <v>0</v>
      </c>
      <c r="B1" s="11"/>
      <c r="E1" s="2" t="s">
        <v>52</v>
      </c>
      <c r="F1" s="2" t="s">
        <v>53</v>
      </c>
      <c r="G1" s="2" t="s">
        <v>54</v>
      </c>
    </row>
    <row r="2" spans="1:7" ht="15.75" thickBot="1" x14ac:dyDescent="0.3">
      <c r="A2" s="1" t="s">
        <v>1</v>
      </c>
      <c r="B2" s="1">
        <v>4</v>
      </c>
      <c r="E2" s="1">
        <v>-5</v>
      </c>
      <c r="F2" s="1">
        <f>PI()/180*E2</f>
        <v>-8.7266462599716474E-2</v>
      </c>
      <c r="G2" s="1">
        <f>$B$10*(F2-$B$15)</f>
        <v>-0.30089582109466761</v>
      </c>
    </row>
    <row r="3" spans="1:7" ht="15.75" thickBot="1" x14ac:dyDescent="0.3">
      <c r="A3" s="1" t="s">
        <v>2</v>
      </c>
      <c r="B3" s="1">
        <f>362.88/144</f>
        <v>2.52</v>
      </c>
      <c r="E3" s="1">
        <f>E2+1</f>
        <v>-4</v>
      </c>
      <c r="F3" s="1">
        <f t="shared" ref="F3:F20" si="0">PI()/180*E3</f>
        <v>-6.9813170079773182E-2</v>
      </c>
      <c r="G3" s="1">
        <f t="shared" ref="G3:G20" si="1">$B$10*(F3-$B$15)</f>
        <v>-0.20059721406311173</v>
      </c>
    </row>
    <row r="4" spans="1:7" ht="15.75" thickBot="1" x14ac:dyDescent="0.3">
      <c r="A4" s="1" t="s">
        <v>3</v>
      </c>
      <c r="B4" s="1">
        <f>B2^2/B3</f>
        <v>6.3492063492063489</v>
      </c>
      <c r="E4" s="1">
        <f t="shared" ref="E4:E16" si="2">E3+1</f>
        <v>-3</v>
      </c>
      <c r="F4" s="1">
        <f t="shared" si="0"/>
        <v>-5.235987755982989E-2</v>
      </c>
      <c r="G4" s="1">
        <f t="shared" si="1"/>
        <v>-0.10029860703155589</v>
      </c>
    </row>
    <row r="5" spans="1:7" ht="15.75" thickBot="1" x14ac:dyDescent="0.3">
      <c r="A5" s="1" t="s">
        <v>4</v>
      </c>
      <c r="B5" s="1">
        <v>23</v>
      </c>
      <c r="E5" s="1">
        <f t="shared" si="2"/>
        <v>-2</v>
      </c>
      <c r="F5" s="1">
        <f t="shared" si="0"/>
        <v>-3.4906585039886591E-2</v>
      </c>
      <c r="G5" s="1">
        <f t="shared" si="1"/>
        <v>0</v>
      </c>
    </row>
    <row r="6" spans="1:7" ht="15.75" thickBot="1" x14ac:dyDescent="0.3">
      <c r="A6" s="1" t="s">
        <v>5</v>
      </c>
      <c r="B6" s="1">
        <f>10/12</f>
        <v>0.83333333333333337</v>
      </c>
      <c r="E6" s="1">
        <f t="shared" si="2"/>
        <v>-1</v>
      </c>
      <c r="F6" s="1">
        <f t="shared" si="0"/>
        <v>-1.7453292519943295E-2</v>
      </c>
      <c r="G6" s="1">
        <f t="shared" si="1"/>
        <v>0.10029860703155587</v>
      </c>
    </row>
    <row r="7" spans="1:7" ht="15.75" thickBot="1" x14ac:dyDescent="0.3">
      <c r="A7" s="1" t="s">
        <v>6</v>
      </c>
      <c r="B7" s="1">
        <f>4.4/12</f>
        <v>0.3666666666666667</v>
      </c>
      <c r="E7" s="1">
        <f t="shared" si="2"/>
        <v>0</v>
      </c>
      <c r="F7" s="1">
        <f t="shared" si="0"/>
        <v>0</v>
      </c>
      <c r="G7" s="1">
        <f t="shared" si="1"/>
        <v>0.20059721406311173</v>
      </c>
    </row>
    <row r="8" spans="1:7" ht="15.75" thickBot="1" x14ac:dyDescent="0.3">
      <c r="A8" s="1" t="s">
        <v>7</v>
      </c>
      <c r="B8" s="1">
        <f>B7/B6</f>
        <v>0.44</v>
      </c>
      <c r="E8" s="1">
        <f t="shared" si="2"/>
        <v>1</v>
      </c>
      <c r="F8" s="1">
        <f t="shared" si="0"/>
        <v>1.7453292519943295E-2</v>
      </c>
      <c r="G8" s="1">
        <f t="shared" si="1"/>
        <v>0.30089582109466761</v>
      </c>
    </row>
    <row r="9" spans="1:7" ht="15.75" thickBot="1" x14ac:dyDescent="0.3">
      <c r="A9" s="1" t="s">
        <v>8</v>
      </c>
      <c r="B9" s="1">
        <f>(2)/(2-B4+SQRT(4+B4^2*(1+(TAN(0.57352))^2)))</f>
        <v>0.57644709036144315</v>
      </c>
      <c r="E9" s="1">
        <f t="shared" si="2"/>
        <v>2</v>
      </c>
      <c r="F9" s="1">
        <f t="shared" si="0"/>
        <v>3.4906585039886591E-2</v>
      </c>
      <c r="G9" s="1">
        <f t="shared" si="1"/>
        <v>0.40119442812622347</v>
      </c>
    </row>
    <row r="10" spans="1:7" ht="15.75" thickBot="1" x14ac:dyDescent="0.3">
      <c r="A10" s="1" t="s">
        <v>9</v>
      </c>
      <c r="B10" s="1">
        <f>1.8*PI()*(1+0.8*B16)*COS(B5*PI()/180)</f>
        <v>5.7466868739493133</v>
      </c>
      <c r="E10" s="1">
        <f>E9+1</f>
        <v>3</v>
      </c>
      <c r="F10" s="1">
        <f t="shared" si="0"/>
        <v>5.235987755982989E-2</v>
      </c>
      <c r="G10" s="1">
        <f t="shared" si="1"/>
        <v>0.50149303515777943</v>
      </c>
    </row>
    <row r="11" spans="1:7" ht="15.75" thickBot="1" x14ac:dyDescent="0.3">
      <c r="A11" s="1" t="s">
        <v>10</v>
      </c>
      <c r="B11" s="1">
        <f>(B10*COS(B5*PI()/180)/(SQRT(1+(B10*COS(B5*PI()/180)/(PI()*B4))^2)+(B10*COS(B5*PI()/180)/(PI()*B4))))</f>
        <v>4.0698421045130679</v>
      </c>
      <c r="E11" s="1">
        <f t="shared" si="2"/>
        <v>4</v>
      </c>
      <c r="F11" s="1">
        <f t="shared" si="0"/>
        <v>6.9813170079773182E-2</v>
      </c>
      <c r="G11" s="1">
        <f t="shared" si="1"/>
        <v>0.60179164218933523</v>
      </c>
    </row>
    <row r="12" spans="1:7" ht="15.75" thickBot="1" x14ac:dyDescent="0.3">
      <c r="A12" s="1" t="s">
        <v>11</v>
      </c>
      <c r="B12" s="1">
        <f>1.1*2.2</f>
        <v>2.4200000000000004</v>
      </c>
      <c r="E12" s="1">
        <f t="shared" si="2"/>
        <v>5</v>
      </c>
      <c r="F12" s="1">
        <f t="shared" si="0"/>
        <v>8.7266462599716474E-2</v>
      </c>
      <c r="G12" s="1">
        <f t="shared" si="1"/>
        <v>0.70209024922089114</v>
      </c>
    </row>
    <row r="13" spans="1:7" ht="15.75" thickBot="1" x14ac:dyDescent="0.3">
      <c r="A13" s="1" t="s">
        <v>12</v>
      </c>
      <c r="B13" s="1">
        <f>B6*2/3*((1+B8+B8^2)/(1+B8))</f>
        <v>0.63024691358024687</v>
      </c>
      <c r="E13" s="1">
        <f>E12+1</f>
        <v>6</v>
      </c>
      <c r="F13" s="1">
        <f t="shared" si="0"/>
        <v>0.10471975511965978</v>
      </c>
      <c r="G13" s="1">
        <f t="shared" si="1"/>
        <v>0.80238885625244694</v>
      </c>
    </row>
    <row r="14" spans="1:7" ht="15.75" thickBot="1" x14ac:dyDescent="0.3">
      <c r="A14" s="1" t="s">
        <v>13</v>
      </c>
      <c r="B14" s="1">
        <v>-2</v>
      </c>
      <c r="E14" s="1">
        <f t="shared" si="2"/>
        <v>7</v>
      </c>
      <c r="F14" s="1">
        <f t="shared" si="0"/>
        <v>0.12217304763960307</v>
      </c>
      <c r="G14" s="1">
        <f t="shared" si="1"/>
        <v>0.90268746328400284</v>
      </c>
    </row>
    <row r="15" spans="1:7" ht="15.75" thickBot="1" x14ac:dyDescent="0.3">
      <c r="A15" s="1" t="s">
        <v>14</v>
      </c>
      <c r="B15" s="1">
        <f>B14*PI()/180</f>
        <v>-3.4906585039886591E-2</v>
      </c>
      <c r="E15" s="1">
        <f t="shared" si="2"/>
        <v>8</v>
      </c>
      <c r="F15" s="1">
        <f t="shared" si="0"/>
        <v>0.13962634015954636</v>
      </c>
      <c r="G15" s="1">
        <f t="shared" si="1"/>
        <v>1.0029860703155586</v>
      </c>
    </row>
    <row r="16" spans="1:7" ht="15.75" thickBot="1" x14ac:dyDescent="0.3">
      <c r="A16" s="1" t="s">
        <v>51</v>
      </c>
      <c r="B16" s="1">
        <f>1.3/10</f>
        <v>0.13</v>
      </c>
      <c r="E16" s="1">
        <f t="shared" si="2"/>
        <v>9</v>
      </c>
      <c r="F16" s="1">
        <f t="shared" si="0"/>
        <v>0.15707963267948966</v>
      </c>
      <c r="G16" s="1">
        <f t="shared" si="1"/>
        <v>1.1032846773471146</v>
      </c>
    </row>
    <row r="17" spans="5:7" ht="15.75" thickBot="1" x14ac:dyDescent="0.3">
      <c r="E17" s="1">
        <f>E16+1</f>
        <v>10</v>
      </c>
      <c r="F17" s="1">
        <f t="shared" si="0"/>
        <v>0.17453292519943295</v>
      </c>
      <c r="G17" s="1">
        <f t="shared" si="1"/>
        <v>1.2035832843786705</v>
      </c>
    </row>
    <row r="18" spans="5:7" ht="15.75" thickBot="1" x14ac:dyDescent="0.3">
      <c r="E18" s="1">
        <f t="shared" ref="E18:E20" si="3">E17+1</f>
        <v>11</v>
      </c>
      <c r="F18" s="1">
        <f t="shared" si="0"/>
        <v>0.19198621771937624</v>
      </c>
      <c r="G18" s="1">
        <f t="shared" si="1"/>
        <v>1.3038818914102261</v>
      </c>
    </row>
    <row r="19" spans="5:7" ht="15.75" thickBot="1" x14ac:dyDescent="0.3">
      <c r="E19" s="1">
        <f t="shared" si="3"/>
        <v>12</v>
      </c>
      <c r="F19" s="1">
        <f t="shared" si="0"/>
        <v>0.20943951023931956</v>
      </c>
      <c r="G19" s="1">
        <f t="shared" si="1"/>
        <v>1.4041804984417823</v>
      </c>
    </row>
    <row r="20" spans="5:7" ht="15.75" thickBot="1" x14ac:dyDescent="0.3">
      <c r="E20" s="1">
        <f t="shared" si="3"/>
        <v>13</v>
      </c>
      <c r="F20" s="1">
        <f t="shared" si="0"/>
        <v>0.22689280275926285</v>
      </c>
      <c r="G20" s="1">
        <f t="shared" si="1"/>
        <v>1.5044791054733382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75F91-CA5E-4360-9ACA-DC159C798491}">
  <dimension ref="A1:D4"/>
  <sheetViews>
    <sheetView tabSelected="1" workbookViewId="0">
      <selection activeCell="F12" sqref="F12"/>
    </sheetView>
  </sheetViews>
  <sheetFormatPr defaultRowHeight="15" x14ac:dyDescent="0.25"/>
  <cols>
    <col min="1" max="1" width="11.140625" customWidth="1"/>
    <col min="2" max="2" width="17.85546875" customWidth="1"/>
    <col min="3" max="3" width="19.85546875" customWidth="1"/>
    <col min="4" max="4" width="17.85546875" customWidth="1"/>
  </cols>
  <sheetData>
    <row r="1" spans="1:4" x14ac:dyDescent="0.25">
      <c r="A1" t="s">
        <v>75</v>
      </c>
      <c r="B1" t="s">
        <v>77</v>
      </c>
      <c r="C1" t="s">
        <v>76</v>
      </c>
      <c r="D1" t="s">
        <v>78</v>
      </c>
    </row>
    <row r="2" spans="1:4" x14ac:dyDescent="0.25">
      <c r="A2">
        <v>80000</v>
      </c>
      <c r="B2">
        <v>-19</v>
      </c>
      <c r="C2">
        <v>170</v>
      </c>
      <c r="D2">
        <f>ABS(B2*60)</f>
        <v>1140</v>
      </c>
    </row>
    <row r="3" spans="1:4" x14ac:dyDescent="0.25">
      <c r="A3">
        <v>60000</v>
      </c>
      <c r="B3">
        <v>-11</v>
      </c>
      <c r="C3">
        <v>110</v>
      </c>
      <c r="D3">
        <f>ABS(B3*60)</f>
        <v>660</v>
      </c>
    </row>
    <row r="4" spans="1:4" x14ac:dyDescent="0.25">
      <c r="A4">
        <v>40000</v>
      </c>
      <c r="B4">
        <v>-6.7</v>
      </c>
      <c r="C4">
        <v>68</v>
      </c>
      <c r="D4">
        <f>ABS(B4*60)</f>
        <v>402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DragBuildUp</vt:lpstr>
      <vt:lpstr>Bank</vt:lpstr>
      <vt:lpstr>Aircraft Data</vt:lpstr>
      <vt:lpstr>Airfoil Estimation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</dc:creator>
  <cp:lastModifiedBy>Zachary</cp:lastModifiedBy>
  <dcterms:created xsi:type="dcterms:W3CDTF">2020-04-07T21:43:13Z</dcterms:created>
  <dcterms:modified xsi:type="dcterms:W3CDTF">2020-04-13T17:52:28Z</dcterms:modified>
</cp:coreProperties>
</file>